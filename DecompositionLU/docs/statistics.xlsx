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axim\source\repos\practice\SECOND_COURSE\FOR_ITLAB\ArchBenchs\DecompositionLU\docs\"/>
    </mc:Choice>
  </mc:AlternateContent>
  <xr:revisionPtr revIDLastSave="0" documentId="13_ncr:1_{1CC269C5-8033-497B-B3E7-BF793FA6774E}" xr6:coauthVersionLast="45" xr6:coauthVersionMax="45" xr10:uidLastSave="{00000000-0000-0000-0000-000000000000}"/>
  <bookViews>
    <workbookView xWindow="-118" yWindow="-118" windowWidth="25370" windowHeight="13759" activeTab="4" xr2:uid="{00000000-000D-0000-FFFF-FFFF00000000}"/>
  </bookViews>
  <sheets>
    <sheet name="Таблица" sheetId="2" r:id="rId1"/>
    <sheet name="Графики" sheetId="1" r:id="rId2"/>
    <sheet name="Замеры блоков" sheetId="3" r:id="rId3"/>
    <sheet name="Сравнение с эталонами" sheetId="4" r:id="rId4"/>
    <sheet name="К1921ВГ1Т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2" i="1" l="1"/>
  <c r="E92" i="1"/>
  <c r="D93" i="1"/>
  <c r="E93" i="1"/>
  <c r="D94" i="1"/>
  <c r="E94" i="1"/>
  <c r="D95" i="1"/>
  <c r="E95" i="1"/>
  <c r="D96" i="1"/>
  <c r="E96" i="1"/>
  <c r="C93" i="1"/>
  <c r="C94" i="1"/>
  <c r="C95" i="1"/>
  <c r="C96" i="1"/>
  <c r="C92" i="1"/>
  <c r="E85" i="1"/>
  <c r="E86" i="1"/>
  <c r="E87" i="1"/>
  <c r="E88" i="1"/>
  <c r="E89" i="1"/>
  <c r="D86" i="1"/>
  <c r="D87" i="1"/>
  <c r="D88" i="1"/>
  <c r="D89" i="1"/>
  <c r="D85" i="1"/>
  <c r="C86" i="1"/>
  <c r="C87" i="1"/>
  <c r="C88" i="1"/>
  <c r="C89" i="1"/>
  <c r="C85" i="1"/>
  <c r="E51" i="1"/>
  <c r="E52" i="1"/>
  <c r="E53" i="1"/>
  <c r="E54" i="1"/>
  <c r="E55" i="1"/>
  <c r="E56" i="1"/>
  <c r="E57" i="1"/>
  <c r="E58" i="1"/>
  <c r="E59" i="1"/>
  <c r="E60" i="1"/>
  <c r="E50" i="1"/>
  <c r="F4" i="4" l="1"/>
  <c r="F9" i="4"/>
  <c r="F14" i="4"/>
  <c r="E51" i="4" l="1"/>
  <c r="D51" i="4"/>
  <c r="C51" i="4"/>
  <c r="B51" i="4"/>
  <c r="F48" i="4" s="1"/>
  <c r="E46" i="4"/>
  <c r="D46" i="4"/>
  <c r="C46" i="4"/>
  <c r="B46" i="4"/>
  <c r="F43" i="4" l="1"/>
  <c r="O17" i="2"/>
  <c r="O16" i="2"/>
  <c r="P12" i="2"/>
  <c r="P11" i="2"/>
  <c r="C36" i="4"/>
  <c r="D36" i="4"/>
  <c r="E36" i="4"/>
  <c r="B36" i="4"/>
  <c r="C31" i="4"/>
  <c r="D31" i="4"/>
  <c r="E31" i="4"/>
  <c r="B31" i="4"/>
  <c r="C26" i="4"/>
  <c r="D26" i="4"/>
  <c r="E26" i="4"/>
  <c r="B26" i="4"/>
  <c r="F23" i="4" s="1"/>
  <c r="C17" i="4"/>
  <c r="D17" i="4"/>
  <c r="E17" i="4"/>
  <c r="B17" i="4"/>
  <c r="C7" i="4"/>
  <c r="D7" i="4"/>
  <c r="E7" i="4"/>
  <c r="B7" i="4"/>
  <c r="C12" i="4"/>
  <c r="D12" i="4"/>
  <c r="E12" i="4"/>
  <c r="B12" i="4"/>
  <c r="F33" i="4" l="1"/>
  <c r="F28" i="4"/>
  <c r="H17" i="3"/>
  <c r="G17" i="3"/>
  <c r="F17" i="3"/>
  <c r="E17" i="3"/>
  <c r="H13" i="3"/>
  <c r="G13" i="3"/>
  <c r="F13" i="3"/>
  <c r="E13" i="3"/>
  <c r="G9" i="3"/>
  <c r="H9" i="3"/>
  <c r="F9" i="3"/>
  <c r="E9" i="3"/>
  <c r="E70" i="1" l="1"/>
  <c r="E71" i="1"/>
  <c r="E72" i="1"/>
  <c r="E73" i="1"/>
  <c r="E74" i="1"/>
  <c r="E69" i="1"/>
  <c r="D56" i="1"/>
  <c r="D70" i="1" s="1"/>
  <c r="D57" i="1"/>
  <c r="D71" i="1" s="1"/>
  <c r="D58" i="1"/>
  <c r="D59" i="1"/>
  <c r="D73" i="1" s="1"/>
  <c r="D60" i="1"/>
  <c r="D55" i="1"/>
  <c r="D69" i="1" s="1"/>
  <c r="C57" i="1"/>
  <c r="C71" i="1" s="1"/>
  <c r="C58" i="1"/>
  <c r="C72" i="1" s="1"/>
  <c r="C59" i="1"/>
  <c r="C73" i="1" s="1"/>
  <c r="C60" i="1"/>
  <c r="C74" i="1" s="1"/>
  <c r="C56" i="1"/>
  <c r="D74" i="1"/>
  <c r="D72" i="1"/>
  <c r="C70" i="1"/>
  <c r="C55" i="1"/>
  <c r="C69" i="1" s="1"/>
  <c r="E68" i="1"/>
  <c r="D54" i="1"/>
  <c r="D68" i="1" s="1"/>
  <c r="C54" i="1"/>
  <c r="C68" i="1" s="1"/>
  <c r="E67" i="1"/>
  <c r="D53" i="1"/>
  <c r="D67" i="1" s="1"/>
  <c r="C53" i="1"/>
  <c r="C67" i="1" s="1"/>
  <c r="E66" i="1"/>
  <c r="D52" i="1"/>
  <c r="D66" i="1" s="1"/>
  <c r="C52" i="1"/>
  <c r="C66" i="1" s="1"/>
  <c r="E65" i="1"/>
  <c r="D51" i="1"/>
  <c r="D65" i="1" s="1"/>
  <c r="C51" i="1"/>
  <c r="C65" i="1" s="1"/>
  <c r="E64" i="1"/>
  <c r="D50" i="1"/>
  <c r="D64" i="1" s="1"/>
  <c r="C50" i="1"/>
  <c r="C64" i="1" s="1"/>
  <c r="E49" i="1"/>
  <c r="E63" i="1" s="1"/>
  <c r="D49" i="1"/>
  <c r="D63" i="1" s="1"/>
  <c r="C49" i="1"/>
  <c r="C63" i="1" s="1"/>
  <c r="E31" i="1"/>
  <c r="C31" i="1"/>
  <c r="E30" i="1"/>
  <c r="D30" i="1"/>
  <c r="E28" i="1"/>
  <c r="D27" i="1"/>
  <c r="C27" i="1"/>
  <c r="E26" i="1"/>
  <c r="D26" i="1"/>
  <c r="E25" i="1"/>
  <c r="C25" i="1"/>
  <c r="E21" i="1"/>
  <c r="D21" i="1"/>
  <c r="D31" i="1" s="1"/>
  <c r="C21" i="1"/>
  <c r="E20" i="1"/>
  <c r="D20" i="1"/>
  <c r="C20" i="1"/>
  <c r="C30" i="1" s="1"/>
  <c r="E19" i="1"/>
  <c r="E29" i="1" s="1"/>
  <c r="D19" i="1"/>
  <c r="D29" i="1" s="1"/>
  <c r="C19" i="1"/>
  <c r="C29" i="1" s="1"/>
  <c r="E18" i="1"/>
  <c r="D18" i="1"/>
  <c r="D28" i="1" s="1"/>
  <c r="C18" i="1"/>
  <c r="C28" i="1" s="1"/>
  <c r="E17" i="1"/>
  <c r="E27" i="1" s="1"/>
  <c r="D17" i="1"/>
  <c r="C17" i="1"/>
  <c r="E16" i="1"/>
  <c r="D16" i="1"/>
  <c r="C16" i="1"/>
  <c r="C26" i="1" s="1"/>
  <c r="E15" i="1"/>
  <c r="D15" i="1"/>
  <c r="D25" i="1" s="1"/>
  <c r="C15" i="1"/>
  <c r="E14" i="1"/>
  <c r="E24" i="1" s="1"/>
  <c r="D14" i="1"/>
  <c r="D24" i="1" s="1"/>
  <c r="C14" i="1"/>
  <c r="C24" i="1" s="1"/>
</calcChain>
</file>

<file path=xl/sharedStrings.xml><?xml version="1.0" encoding="utf-8"?>
<sst xmlns="http://schemas.openxmlformats.org/spreadsheetml/2006/main" count="173" uniqueCount="74">
  <si>
    <t>Замеры версии 3.2</t>
  </si>
  <si>
    <t>&gt;---------&lt; Соотв. Таблица &gt;---------&lt;</t>
  </si>
  <si>
    <t>Замеры на ноутбуке, данные процессора на вкладке "Про ноутбук"</t>
  </si>
  <si>
    <t>Время вычисления</t>
  </si>
  <si>
    <t>Кол-во потоков</t>
  </si>
  <si>
    <t>n = 3000</t>
  </si>
  <si>
    <t>n = 5000</t>
  </si>
  <si>
    <t>n = 10000</t>
  </si>
  <si>
    <t>Ускорение S</t>
  </si>
  <si>
    <t>Эффективность</t>
  </si>
  <si>
    <t>Комментарии:</t>
  </si>
  <si>
    <t>Мне нравятся результаты, но есть ощущение, что можно лучше. Графики точно не самые хорошие.</t>
  </si>
  <si>
    <t>Замеры на кластере х86, данные на вкладке "Про кластер"</t>
  </si>
  <si>
    <t>n = 15000</t>
  </si>
  <si>
    <t>с ключом -march=icelake-server программа стала работать вдвое быстрее, но потеряла в ускорении от количества потоков.</t>
  </si>
  <si>
    <t>Замеры на кластере risk-V, данные на вкладке "Про кластер"</t>
  </si>
  <si>
    <t>n = 2000</t>
  </si>
  <si>
    <t>Версия 3.2</t>
  </si>
  <si>
    <t>Соотв. Графики</t>
  </si>
  <si>
    <t>Соотв. графики</t>
  </si>
  <si>
    <t xml:space="preserve">Использованная память: </t>
  </si>
  <si>
    <t>n^2</t>
  </si>
  <si>
    <r>
      <t>Компилятор:</t>
    </r>
    <r>
      <rPr>
        <b/>
        <sz val="14"/>
        <color rgb="FF0070C0"/>
        <rFont val="GOST Common"/>
        <family val="2"/>
        <charset val="204"/>
      </rPr>
      <t xml:space="preserve"> Intel oneApi</t>
    </r>
    <r>
      <rPr>
        <sz val="14"/>
        <color theme="1"/>
        <rFont val="GOST Common"/>
        <family val="2"/>
        <charset val="204"/>
      </rPr>
      <t xml:space="preserve">; устройство: </t>
    </r>
    <r>
      <rPr>
        <b/>
        <sz val="14"/>
        <color rgb="FF0070C0"/>
        <rFont val="GOST Common"/>
        <family val="2"/>
        <charset val="204"/>
      </rPr>
      <t>ноутбук.</t>
    </r>
  </si>
  <si>
    <t>Величина n (длина строки/столбца):</t>
  </si>
  <si>
    <t>Время инициализации матрицы (случ. значения), мс:</t>
  </si>
  <si>
    <t>Время вычисления LU разложения, мс:</t>
  </si>
  <si>
    <t>Общее время выполнения теста, мс:</t>
  </si>
  <si>
    <r>
      <t>Компилятор:</t>
    </r>
    <r>
      <rPr>
        <b/>
        <sz val="14"/>
        <color rgb="FF0070C0"/>
        <rFont val="GOST Common"/>
        <family val="2"/>
        <charset val="204"/>
      </rPr>
      <t xml:space="preserve"> icpx 2023</t>
    </r>
    <r>
      <rPr>
        <sz val="14"/>
        <color theme="1"/>
        <rFont val="GOST Common"/>
        <family val="2"/>
        <charset val="204"/>
      </rPr>
      <t xml:space="preserve">; устройство: </t>
    </r>
    <r>
      <rPr>
        <b/>
        <sz val="14"/>
        <color rgb="FF0070C0"/>
        <rFont val="GOST Common"/>
        <family val="2"/>
        <charset val="204"/>
      </rPr>
      <t>кластер х86</t>
    </r>
  </si>
  <si>
    <t>размер блока:</t>
  </si>
  <si>
    <t>n</t>
  </si>
  <si>
    <t>ЭТО КАК</t>
  </si>
  <si>
    <t>risk-V (компилятор gcc-riskv64-15.1.0)</t>
  </si>
  <si>
    <t>Размеры матрицы</t>
  </si>
  <si>
    <t>L11 x U11</t>
  </si>
  <si>
    <t>L21</t>
  </si>
  <si>
    <t>U12</t>
  </si>
  <si>
    <t>L22 x U22</t>
  </si>
  <si>
    <t>Общее время вычисления (ms)</t>
  </si>
  <si>
    <t>Время вычисления блоков (ms)</t>
  </si>
  <si>
    <t>Процент от общего времени (%)</t>
  </si>
  <si>
    <r>
      <t>Компилятор:</t>
    </r>
    <r>
      <rPr>
        <b/>
        <sz val="14"/>
        <color rgb="FF0070C0"/>
        <rFont val="GOST Common"/>
        <family val="2"/>
        <charset val="204"/>
      </rPr>
      <t xml:space="preserve"> gcc-riskv64-15.1.0</t>
    </r>
    <r>
      <rPr>
        <sz val="14"/>
        <color theme="1"/>
        <rFont val="GOST Common"/>
        <family val="2"/>
        <charset val="204"/>
      </rPr>
      <t xml:space="preserve">; устройство: </t>
    </r>
    <r>
      <rPr>
        <b/>
        <sz val="14"/>
        <color rgb="FF0070C0"/>
        <rFont val="GOST Common"/>
        <family val="2"/>
        <charset val="204"/>
      </rPr>
      <t>кластер risk-V</t>
    </r>
  </si>
  <si>
    <t>Время вычисления версии 3.2, мс:</t>
  </si>
  <si>
    <t>Хорошо</t>
  </si>
  <si>
    <t>Бал + деж</t>
  </si>
  <si>
    <t>Есть некоторые проблемы</t>
  </si>
  <si>
    <t>Для справки: год выхода - 2021</t>
  </si>
  <si>
    <t>Итог:</t>
  </si>
  <si>
    <t>На кластерах версия быстрее, однако на ноутбуке выигрывает eigen</t>
  </si>
  <si>
    <t>Версия eigen выигрывает на процессорах архитектуры х86, но на risk-V работает ощутимо медленнее</t>
  </si>
  <si>
    <t>Время без векторизации</t>
  </si>
  <si>
    <t>Про векторизацию</t>
  </si>
  <si>
    <t>Выигрыш, %</t>
  </si>
  <si>
    <t>Не сработали ключи</t>
  </si>
  <si>
    <t>Сравнение версии 3.2 и eigen-3.4.0 (функция Eigen::PartialPivLU)</t>
  </si>
  <si>
    <t>Время вычисления эталона, мс:</t>
  </si>
  <si>
    <t>Отношение времени эталона ко времени версии 3.2, %</t>
  </si>
  <si>
    <t>Примечание: приведено только время LU разложения (актуально для всех таблиц)</t>
  </si>
  <si>
    <t>Примечание: при замерах на ноутбуке использована версия 2025.2, на кластерах - 2023.0.0</t>
  </si>
  <si>
    <t>На Risk-V запустить mkl невозможно.</t>
  </si>
  <si>
    <r>
      <t>Компилятор:</t>
    </r>
    <r>
      <rPr>
        <b/>
        <sz val="14"/>
        <color rgb="FF0070C0"/>
        <rFont val="GOST Common"/>
        <family val="2"/>
        <charset val="204"/>
      </rPr>
      <t xml:space="preserve"> gcc-riskv64-15.1.0</t>
    </r>
    <r>
      <rPr>
        <sz val="14"/>
        <color theme="1"/>
        <rFont val="GOST Common"/>
        <family val="2"/>
        <charset val="204"/>
      </rPr>
      <t xml:space="preserve">; устройство: </t>
    </r>
    <r>
      <rPr>
        <b/>
        <sz val="14"/>
        <color rgb="FF0070C0"/>
        <rFont val="GOST Common"/>
        <family val="2"/>
        <charset val="204"/>
      </rPr>
      <t>кластер Risk-V</t>
    </r>
  </si>
  <si>
    <t xml:space="preserve">Применение моей программы имеет смысл только для архитектуры Risk-V, однако, целью работы и была оптимизация под Risk-V </t>
  </si>
  <si>
    <t>структура данных - матрица, храню строкой</t>
  </si>
  <si>
    <t>есть наивная версия и есть блочная</t>
  </si>
  <si>
    <t>прикрутить слайд математики, где картинкой нарисованы эти огромные комментарии из кода моего</t>
  </si>
  <si>
    <t>ну грубо говоря визуализация работы - это слайд математики</t>
  </si>
  <si>
    <t>вообще к обеим версиям надо это сделать</t>
  </si>
  <si>
    <t>а цель была - написать переносимый достаточно оптимально рабочий код на разных архитектурах</t>
  </si>
  <si>
    <t>цель общая  - разработка открытых бенчмарков для обучения студентов по курсу "оптимизация программ" и сослаться на книгу мол "пример учебника, к нему разрабатываются иллюстративные матреиалы"</t>
  </si>
  <si>
    <t>Сравнение блочного алгоритма и eigen-5.0.0 (функция Eigen::PartialPivLU)</t>
  </si>
  <si>
    <t>Время вычисления тестируемой функции, мс:</t>
  </si>
  <si>
    <t>Сравнение блочного алгоритма и mkl (функция LAPACKE_dgetrf)</t>
  </si>
  <si>
    <t>Размер стороны матрицы (n)</t>
  </si>
  <si>
    <t>Время, мс</t>
  </si>
  <si>
    <t>Замеры на К1921ВГ1Т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</si>
</sst>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GOST Common"/>
      <family val="2"/>
      <charset val="204"/>
    </font>
    <font>
      <sz val="11"/>
      <color theme="1"/>
      <name val="GOST Common"/>
      <family val="2"/>
      <charset val="204"/>
    </font>
    <font>
      <sz val="14"/>
      <color theme="1"/>
      <name val="GOST Common"/>
      <family val="2"/>
      <charset val="204"/>
    </font>
    <font>
      <b/>
      <sz val="14"/>
      <color theme="1"/>
      <name val="GOST Common"/>
      <family val="2"/>
      <charset val="204"/>
    </font>
    <font>
      <b/>
      <sz val="14"/>
      <name val="GOST Common"/>
      <family val="2"/>
      <charset val="204"/>
    </font>
    <font>
      <i/>
      <sz val="14"/>
      <color theme="1"/>
      <name val="GOST Common"/>
      <family val="2"/>
      <charset val="204"/>
    </font>
    <font>
      <i/>
      <sz val="14"/>
      <name val="GOST Common"/>
      <family val="2"/>
      <charset val="204"/>
    </font>
    <font>
      <b/>
      <sz val="14"/>
      <color rgb="FF0070C0"/>
      <name val="GOST Common"/>
      <family val="2"/>
      <charset val="204"/>
    </font>
    <font>
      <sz val="14"/>
      <name val="GOST Common"/>
      <family val="2"/>
      <charset val="204"/>
    </font>
    <font>
      <sz val="14"/>
      <color rgb="FF0070C0"/>
      <name val="GOST Common"/>
      <family val="2"/>
      <charset val="204"/>
    </font>
    <font>
      <b/>
      <u/>
      <sz val="14"/>
      <color theme="0"/>
      <name val="GOST Common"/>
      <family val="2"/>
      <charset val="204"/>
    </font>
    <font>
      <u/>
      <sz val="18"/>
      <color theme="0"/>
      <name val="GOST Common"/>
      <family val="2"/>
      <charset val="204"/>
    </font>
    <font>
      <sz val="20"/>
      <color theme="1"/>
      <name val="GOST Common"/>
      <family val="2"/>
      <charset val="204"/>
    </font>
    <font>
      <b/>
      <sz val="11"/>
      <color theme="1"/>
      <name val="GOST Common"/>
      <family val="2"/>
      <charset val="204"/>
    </font>
    <font>
      <b/>
      <sz val="12"/>
      <color theme="1"/>
      <name val="GOST Common"/>
      <family val="2"/>
      <charset val="204"/>
    </font>
    <font>
      <sz val="14"/>
      <color theme="0"/>
      <name val="GOST Common"/>
      <family val="2"/>
      <charset val="204"/>
    </font>
    <font>
      <sz val="12"/>
      <color theme="1"/>
      <name val="GOST Common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5E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8">
    <xf numFmtId="0" fontId="0" fillId="0" borderId="0" xfId="0"/>
    <xf numFmtId="0" fontId="3" fillId="0" borderId="0" xfId="0" applyFont="1"/>
    <xf numFmtId="0" fontId="3" fillId="0" borderId="4" xfId="0" applyFont="1" applyBorder="1"/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5" fillId="6" borderId="4" xfId="0" applyFont="1" applyFill="1" applyBorder="1" applyAlignment="1">
      <alignment vertical="center"/>
    </xf>
    <xf numFmtId="0" fontId="6" fillId="7" borderId="4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3" fillId="0" borderId="0" xfId="0" applyFont="1" applyBorder="1"/>
    <xf numFmtId="0" fontId="4" fillId="0" borderId="0" xfId="0" applyFont="1" applyBorder="1"/>
    <xf numFmtId="0" fontId="4" fillId="0" borderId="0" xfId="0" applyFont="1" applyFill="1" applyBorder="1"/>
    <xf numFmtId="0" fontId="0" fillId="0" borderId="0" xfId="0" applyFill="1" applyBorder="1"/>
    <xf numFmtId="0" fontId="4" fillId="0" borderId="0" xfId="0" applyFont="1" applyFill="1" applyBorder="1" applyAlignment="1"/>
    <xf numFmtId="0" fontId="3" fillId="0" borderId="0" xfId="0" applyFont="1" applyFill="1" applyBorder="1"/>
    <xf numFmtId="0" fontId="4" fillId="0" borderId="4" xfId="0" applyFont="1" applyBorder="1" applyAlignment="1">
      <alignment horizontal="left"/>
    </xf>
    <xf numFmtId="0" fontId="10" fillId="0" borderId="4" xfId="0" applyFont="1" applyBorder="1"/>
    <xf numFmtId="0" fontId="9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0" fillId="7" borderId="4" xfId="0" applyFont="1" applyFill="1" applyBorder="1"/>
    <xf numFmtId="0" fontId="11" fillId="7" borderId="4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11" fillId="9" borderId="4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9" fillId="0" borderId="4" xfId="0" applyFont="1" applyBorder="1" applyAlignment="1">
      <alignment horizontal="center" vertical="center"/>
    </xf>
    <xf numFmtId="0" fontId="10" fillId="10" borderId="4" xfId="0" applyFont="1" applyFill="1" applyBorder="1"/>
    <xf numFmtId="0" fontId="11" fillId="10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11" borderId="4" xfId="0" applyFont="1" applyFill="1" applyBorder="1"/>
    <xf numFmtId="0" fontId="11" fillId="11" borderId="4" xfId="0" applyFont="1" applyFill="1" applyBorder="1" applyAlignment="1">
      <alignment horizontal="center"/>
    </xf>
    <xf numFmtId="0" fontId="4" fillId="11" borderId="4" xfId="0" applyFont="1" applyFill="1" applyBorder="1" applyAlignment="1">
      <alignment vertical="center"/>
    </xf>
    <xf numFmtId="0" fontId="4" fillId="11" borderId="4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2" fillId="3" borderId="4" xfId="1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3" fillId="3" borderId="1" xfId="1" applyFont="1" applyFill="1" applyBorder="1" applyAlignment="1">
      <alignment horizontal="center"/>
    </xf>
    <xf numFmtId="0" fontId="13" fillId="3" borderId="2" xfId="1" applyFont="1" applyFill="1" applyBorder="1" applyAlignment="1">
      <alignment horizontal="center"/>
    </xf>
    <xf numFmtId="0" fontId="13" fillId="3" borderId="3" xfId="1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 textRotation="90" wrapText="1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0" fontId="4" fillId="6" borderId="4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center" vertical="center" textRotation="90" wrapText="1"/>
    </xf>
    <xf numFmtId="0" fontId="4" fillId="4" borderId="6" xfId="0" applyFont="1" applyFill="1" applyBorder="1" applyAlignment="1">
      <alignment horizontal="center" vertical="center" textRotation="90" wrapText="1"/>
    </xf>
    <xf numFmtId="0" fontId="5" fillId="5" borderId="4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/>
    </xf>
    <xf numFmtId="0" fontId="9" fillId="0" borderId="4" xfId="0" applyFont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12" fillId="3" borderId="4" xfId="1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10" fillId="10" borderId="13" xfId="0" applyFont="1" applyFill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/>
    <xf numFmtId="0" fontId="18" fillId="9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800080"/>
      <color rgb="FFFFC5E2"/>
      <color rgb="FFFF6600"/>
      <color rgb="FF66FF66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[1]Графики!$B$37:$B$44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[1]Графики!$B$37:$B$44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BB-4B39-BE78-6269AE78AD83}"/>
            </c:ext>
          </c:extLst>
        </c:ser>
        <c:ser>
          <c:idx val="0"/>
          <c:order val="1"/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Графики!$B$14:$B$21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Графики!$D$14:$D$21</c:f>
              <c:numCache>
                <c:formatCode>General</c:formatCode>
                <c:ptCount val="8"/>
                <c:pt idx="0">
                  <c:v>1</c:v>
                </c:pt>
                <c:pt idx="1">
                  <c:v>1.8455600000000001</c:v>
                </c:pt>
                <c:pt idx="2">
                  <c:v>3.6100300000000001</c:v>
                </c:pt>
                <c:pt idx="3">
                  <c:v>4.0334500000000002</c:v>
                </c:pt>
                <c:pt idx="4">
                  <c:v>4.4489700000000001</c:v>
                </c:pt>
                <c:pt idx="5">
                  <c:v>4.6193999999999997</c:v>
                </c:pt>
                <c:pt idx="6">
                  <c:v>4.7108100000000004</c:v>
                </c:pt>
                <c:pt idx="7">
                  <c:v>5.4617599999999999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BB-4B39-BE78-6269AE78A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Графики!$B$24:$B$31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Графики!$D$24:$D$31</c:f>
              <c:numCache>
                <c:formatCode>General</c:formatCode>
                <c:ptCount val="8"/>
                <c:pt idx="0">
                  <c:v>1</c:v>
                </c:pt>
                <c:pt idx="1">
                  <c:v>0.92278000000000004</c:v>
                </c:pt>
                <c:pt idx="2">
                  <c:v>0.90251000000000003</c:v>
                </c:pt>
                <c:pt idx="3">
                  <c:v>0.67223999999999995</c:v>
                </c:pt>
                <c:pt idx="4">
                  <c:v>0.55611999999999995</c:v>
                </c:pt>
                <c:pt idx="5">
                  <c:v>0.46194000000000002</c:v>
                </c:pt>
                <c:pt idx="6">
                  <c:v>0.39256999999999997</c:v>
                </c:pt>
                <c:pt idx="7">
                  <c:v>0.34136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2A-4707-A8D5-16FF8CADD1C6}"/>
            </c:ext>
          </c:extLst>
        </c:ser>
        <c:ser>
          <c:idx val="1"/>
          <c:order val="1"/>
          <c:tx>
            <c:v>Целевые значения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Графики!$B$24:$B$31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Lit>
              <c:formatCode>General</c:formatCode>
              <c:ptCount val="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7F2A-4707-A8D5-16FF8CADD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Графики!$B$4:$B$11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Графики!$D$4:$D$11</c:f>
              <c:numCache>
                <c:formatCode>General</c:formatCode>
                <c:ptCount val="8"/>
                <c:pt idx="0">
                  <c:v>9285</c:v>
                </c:pt>
                <c:pt idx="1">
                  <c:v>5031</c:v>
                </c:pt>
                <c:pt idx="2">
                  <c:v>2572</c:v>
                </c:pt>
                <c:pt idx="3">
                  <c:v>2302</c:v>
                </c:pt>
                <c:pt idx="4">
                  <c:v>2087</c:v>
                </c:pt>
                <c:pt idx="5">
                  <c:v>2010</c:v>
                </c:pt>
                <c:pt idx="6">
                  <c:v>1971</c:v>
                </c:pt>
                <c:pt idx="7">
                  <c:v>1700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30-48CB-BBB0-39251A966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[1]Графики!$B$37:$B$44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[1]Графики!$B$37:$B$44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D4-4DA1-A1D6-D8D20F0D5601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Графики!$B$14:$B$21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Графики!$C$14:$C$21</c:f>
              <c:numCache>
                <c:formatCode>General</c:formatCode>
                <c:ptCount val="8"/>
                <c:pt idx="0">
                  <c:v>1</c:v>
                </c:pt>
                <c:pt idx="1">
                  <c:v>1.6997599999999999</c:v>
                </c:pt>
                <c:pt idx="2">
                  <c:v>2.4432700000000001</c:v>
                </c:pt>
                <c:pt idx="3">
                  <c:v>3.2138499999999999</c:v>
                </c:pt>
                <c:pt idx="4">
                  <c:v>3.3317399999999999</c:v>
                </c:pt>
                <c:pt idx="5">
                  <c:v>3.3857400000000002</c:v>
                </c:pt>
                <c:pt idx="6">
                  <c:v>3.4933100000000001</c:v>
                </c:pt>
                <c:pt idx="7">
                  <c:v>4.5314500000000004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D4-4DA1-A1D6-D8D20F0D5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Графики!$B$24:$B$31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Lit>
              <c:formatCode>General</c:formatCode>
              <c:ptCount val="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493-4F33-8D62-76CFCB66601B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Графики!$B$24:$B$31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Графики!$C$24:$C$31</c:f>
              <c:numCache>
                <c:formatCode>General</c:formatCode>
                <c:ptCount val="8"/>
                <c:pt idx="0">
                  <c:v>1</c:v>
                </c:pt>
                <c:pt idx="1">
                  <c:v>0.84987999999999997</c:v>
                </c:pt>
                <c:pt idx="2">
                  <c:v>0.61082000000000003</c:v>
                </c:pt>
                <c:pt idx="3">
                  <c:v>0.53564000000000001</c:v>
                </c:pt>
                <c:pt idx="4">
                  <c:v>0.41647000000000001</c:v>
                </c:pt>
                <c:pt idx="5">
                  <c:v>0.33856999999999998</c:v>
                </c:pt>
                <c:pt idx="6">
                  <c:v>0.29110999999999998</c:v>
                </c:pt>
                <c:pt idx="7">
                  <c:v>0.28322000000000003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93-4F33-8D62-76CFCB666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Графики!$B$4:$B$11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Графики!$C$4:$C$11</c:f>
              <c:numCache>
                <c:formatCode>General</c:formatCode>
                <c:ptCount val="8"/>
                <c:pt idx="0">
                  <c:v>2089</c:v>
                </c:pt>
                <c:pt idx="1">
                  <c:v>1229</c:v>
                </c:pt>
                <c:pt idx="2">
                  <c:v>855</c:v>
                </c:pt>
                <c:pt idx="3">
                  <c:v>650</c:v>
                </c:pt>
                <c:pt idx="4">
                  <c:v>627</c:v>
                </c:pt>
                <c:pt idx="5">
                  <c:v>617</c:v>
                </c:pt>
                <c:pt idx="6">
                  <c:v>598</c:v>
                </c:pt>
                <c:pt idx="7">
                  <c:v>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95-4F3C-9737-EF812B4BA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10000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[1]Графики!$B$37:$B$44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[1]Графики!$B$37:$B$44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09-4FC1-AB6E-D3881603F4FF}"/>
            </c:ext>
          </c:extLst>
        </c:ser>
        <c:ser>
          <c:idx val="0"/>
          <c:order val="1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Графики!$B$14:$B$21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Графики!$E$14:$E$21</c:f>
              <c:numCache>
                <c:formatCode>General</c:formatCode>
                <c:ptCount val="8"/>
                <c:pt idx="0">
                  <c:v>1</c:v>
                </c:pt>
                <c:pt idx="1">
                  <c:v>1.9168099999999999</c:v>
                </c:pt>
                <c:pt idx="2">
                  <c:v>3.0709599999999999</c:v>
                </c:pt>
                <c:pt idx="3">
                  <c:v>4.2553900000000002</c:v>
                </c:pt>
                <c:pt idx="4">
                  <c:v>4.70085</c:v>
                </c:pt>
                <c:pt idx="5">
                  <c:v>5.0873499999999998</c:v>
                </c:pt>
                <c:pt idx="6">
                  <c:v>5.3701999999999996</c:v>
                </c:pt>
                <c:pt idx="7">
                  <c:v>5.4314999999999998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09-4FC1-AB6E-D3881603F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10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[1]Графики!$B$37:$B$44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Lit>
              <c:formatCode>General</c:formatCode>
              <c:ptCount val="8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362-426A-8BC4-7E5ACC3806AD}"/>
            </c:ext>
          </c:extLst>
        </c:ser>
        <c:ser>
          <c:idx val="0"/>
          <c:order val="1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Графики!$B$24:$B$31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Графики!$E$24:$E$31</c:f>
              <c:numCache>
                <c:formatCode>General</c:formatCode>
                <c:ptCount val="8"/>
                <c:pt idx="0">
                  <c:v>1</c:v>
                </c:pt>
                <c:pt idx="1">
                  <c:v>0.95840999999999998</c:v>
                </c:pt>
                <c:pt idx="2">
                  <c:v>0.76773999999999998</c:v>
                </c:pt>
                <c:pt idx="3">
                  <c:v>0.70923000000000003</c:v>
                </c:pt>
                <c:pt idx="4">
                  <c:v>0.58760999999999997</c:v>
                </c:pt>
                <c:pt idx="5">
                  <c:v>0.50873999999999997</c:v>
                </c:pt>
                <c:pt idx="6">
                  <c:v>0.44751999999999997</c:v>
                </c:pt>
                <c:pt idx="7">
                  <c:v>0.33946999999999999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BB-4594-AABC-E8DE1FD23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10000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Графики!$B$4:$B$11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Графики!$E$4:$E$11</c:f>
              <c:numCache>
                <c:formatCode>General</c:formatCode>
                <c:ptCount val="8"/>
                <c:pt idx="0">
                  <c:v>70414</c:v>
                </c:pt>
                <c:pt idx="1">
                  <c:v>36735</c:v>
                </c:pt>
                <c:pt idx="2">
                  <c:v>22929</c:v>
                </c:pt>
                <c:pt idx="3">
                  <c:v>16547</c:v>
                </c:pt>
                <c:pt idx="4">
                  <c:v>14979</c:v>
                </c:pt>
                <c:pt idx="5">
                  <c:v>13841</c:v>
                </c:pt>
                <c:pt idx="6">
                  <c:v>13112</c:v>
                </c:pt>
                <c:pt idx="7">
                  <c:v>12964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99-4098-9C8B-A304821D7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10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Графики!$B$35:$B$45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Графики!$D$35:$D$45</c:f>
              <c:numCache>
                <c:formatCode>General</c:formatCode>
                <c:ptCount val="11"/>
                <c:pt idx="0">
                  <c:v>42432</c:v>
                </c:pt>
                <c:pt idx="1">
                  <c:v>21304</c:v>
                </c:pt>
                <c:pt idx="2">
                  <c:v>11216</c:v>
                </c:pt>
                <c:pt idx="3">
                  <c:v>7807</c:v>
                </c:pt>
                <c:pt idx="4">
                  <c:v>6310</c:v>
                </c:pt>
                <c:pt idx="5">
                  <c:v>5315</c:v>
                </c:pt>
                <c:pt idx="6">
                  <c:v>4635</c:v>
                </c:pt>
                <c:pt idx="7">
                  <c:v>4175</c:v>
                </c:pt>
                <c:pt idx="8">
                  <c:v>3919</c:v>
                </c:pt>
                <c:pt idx="9">
                  <c:v>3662</c:v>
                </c:pt>
                <c:pt idx="10">
                  <c:v>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77-4F7B-9281-B0F657230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10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Графики!$B$49:$B$59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Графики!$B$49:$B$59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5F-4704-80CE-C6A165F6957E}"/>
            </c:ext>
          </c:extLst>
        </c:ser>
        <c:ser>
          <c:idx val="0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Графики!$B$49:$B$59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Графики!$D$49:$D$59</c:f>
              <c:numCache>
                <c:formatCode>General</c:formatCode>
                <c:ptCount val="11"/>
                <c:pt idx="0">
                  <c:v>1</c:v>
                </c:pt>
                <c:pt idx="1">
                  <c:v>1.9917400000000001</c:v>
                </c:pt>
                <c:pt idx="2">
                  <c:v>3.7831700000000001</c:v>
                </c:pt>
                <c:pt idx="3">
                  <c:v>5.4351200000000004</c:v>
                </c:pt>
                <c:pt idx="4">
                  <c:v>6.7245600000000003</c:v>
                </c:pt>
                <c:pt idx="5">
                  <c:v>7.9834399999999999</c:v>
                </c:pt>
                <c:pt idx="6">
                  <c:v>9.1546900000000004</c:v>
                </c:pt>
                <c:pt idx="7">
                  <c:v>10.163349999999999</c:v>
                </c:pt>
                <c:pt idx="8">
                  <c:v>10.827249999999999</c:v>
                </c:pt>
                <c:pt idx="9">
                  <c:v>11.587109999999999</c:v>
                </c:pt>
                <c:pt idx="10">
                  <c:v>12.16165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6-44F6-B8F6-66828BFF8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2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Графики!$B$85:$B$89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Графики!$B$85:$B$89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2F-4157-BA5B-7D36C84021DC}"/>
            </c:ext>
          </c:extLst>
        </c:ser>
        <c:ser>
          <c:idx val="0"/>
          <c:order val="1"/>
          <c:spPr>
            <a:ln w="19050" cap="rnd">
              <a:solidFill>
                <a:srgbClr val="CC00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CC"/>
              </a:solidFill>
              <a:ln w="9525">
                <a:solidFill>
                  <a:srgbClr val="CC00CC"/>
                </a:solidFill>
              </a:ln>
              <a:effectLst/>
            </c:spPr>
          </c:marker>
          <c:xVal>
            <c:numRef>
              <c:f>Графики!$B$85:$B$89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Графики!$C$85:$C$89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4.04</c:v>
                </c:pt>
                <c:pt idx="3">
                  <c:v>5.79</c:v>
                </c:pt>
                <c:pt idx="4">
                  <c:v>7.52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B5-4C52-8891-018BA7A07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2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Графики!$B$92:$B$96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1B35-4295-839C-0C22409C4545}"/>
            </c:ext>
          </c:extLst>
        </c:ser>
        <c:ser>
          <c:idx val="0"/>
          <c:order val="1"/>
          <c:spPr>
            <a:ln w="19050" cap="rnd">
              <a:solidFill>
                <a:srgbClr val="CC00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CC"/>
              </a:solidFill>
              <a:ln w="9525">
                <a:solidFill>
                  <a:srgbClr val="CC00CC"/>
                </a:solidFill>
              </a:ln>
              <a:effectLst/>
            </c:spPr>
          </c:marker>
          <c:xVal>
            <c:numRef>
              <c:f>Графики!$B$92:$B$96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Графики!$C$92:$C$96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1.01</c:v>
                </c:pt>
                <c:pt idx="3">
                  <c:v>0.97</c:v>
                </c:pt>
                <c:pt idx="4">
                  <c:v>0.94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52-45FF-B7A0-1ADC609B6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2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CC00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C00CC"/>
              </a:solidFill>
              <a:ln w="9525">
                <a:solidFill>
                  <a:srgbClr val="CC00CC"/>
                </a:solidFill>
              </a:ln>
              <a:effectLst/>
            </c:spPr>
          </c:marker>
          <c:xVal>
            <c:numRef>
              <c:f>Графики!$B$78:$B$82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Графики!$C$78:$C$82</c:f>
              <c:numCache>
                <c:formatCode>General</c:formatCode>
                <c:ptCount val="5"/>
                <c:pt idx="0">
                  <c:v>10562</c:v>
                </c:pt>
                <c:pt idx="1">
                  <c:v>5280</c:v>
                </c:pt>
                <c:pt idx="2">
                  <c:v>2613</c:v>
                </c:pt>
                <c:pt idx="3">
                  <c:v>1823</c:v>
                </c:pt>
                <c:pt idx="4">
                  <c:v>1405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9-4897-B2C9-624EF2549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Графики!$B$78:$B$82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Графики!$D$78:$D$82</c:f>
              <c:numCache>
                <c:formatCode>General</c:formatCode>
                <c:ptCount val="5"/>
                <c:pt idx="0">
                  <c:v>36099</c:v>
                </c:pt>
                <c:pt idx="1">
                  <c:v>17609</c:v>
                </c:pt>
                <c:pt idx="2">
                  <c:v>8670</c:v>
                </c:pt>
                <c:pt idx="3">
                  <c:v>5968</c:v>
                </c:pt>
                <c:pt idx="4">
                  <c:v>4618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F2-4AB8-A903-235E48C2E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Целевые значения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Графики!$B$85:$B$89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Графики!$B$85:$B$89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8D-4A5B-9915-F8F93450A72D}"/>
            </c:ext>
          </c:extLst>
        </c:ser>
        <c:ser>
          <c:idx val="1"/>
          <c:order val="1"/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Графики!$B$85:$B$89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Графики!$D$85:$D$89</c:f>
              <c:numCache>
                <c:formatCode>General</c:formatCode>
                <c:ptCount val="5"/>
                <c:pt idx="0">
                  <c:v>1</c:v>
                </c:pt>
                <c:pt idx="1">
                  <c:v>2.0499999999999998</c:v>
                </c:pt>
                <c:pt idx="2">
                  <c:v>4.16</c:v>
                </c:pt>
                <c:pt idx="3">
                  <c:v>6.05</c:v>
                </c:pt>
                <c:pt idx="4">
                  <c:v>7.82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8D-4A5B-9915-F8F93450A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Целевые значения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Графики!$B$92:$B$96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7CCE-4521-A872-6AC0D26B15F0}"/>
            </c:ext>
          </c:extLst>
        </c:ser>
        <c:ser>
          <c:idx val="1"/>
          <c:order val="1"/>
          <c:spPr>
            <a:ln w="19050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xVal>
            <c:numRef>
              <c:f>Графики!$B$92:$B$96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Графики!$D$92:$D$96</c:f>
              <c:numCache>
                <c:formatCode>General</c:formatCode>
                <c:ptCount val="5"/>
                <c:pt idx="0">
                  <c:v>1</c:v>
                </c:pt>
                <c:pt idx="1">
                  <c:v>1.03</c:v>
                </c:pt>
                <c:pt idx="2">
                  <c:v>1.04</c:v>
                </c:pt>
                <c:pt idx="3">
                  <c:v>1.01</c:v>
                </c:pt>
                <c:pt idx="4">
                  <c:v>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CE-4521-A872-6AC0D26B1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5000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800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800080"/>
              </a:solidFill>
              <a:ln w="9525">
                <a:solidFill>
                  <a:srgbClr val="800080"/>
                </a:solidFill>
              </a:ln>
              <a:effectLst/>
            </c:spPr>
          </c:marker>
          <c:xVal>
            <c:numRef>
              <c:f>Графики!$B$78:$B$82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Графики!$E$78:$E$82</c:f>
              <c:numCache>
                <c:formatCode>General</c:formatCode>
                <c:ptCount val="5"/>
                <c:pt idx="0">
                  <c:v>167489</c:v>
                </c:pt>
                <c:pt idx="1">
                  <c:v>80815</c:v>
                </c:pt>
                <c:pt idx="2">
                  <c:v>39609</c:v>
                </c:pt>
                <c:pt idx="3">
                  <c:v>27215</c:v>
                </c:pt>
                <c:pt idx="4">
                  <c:v>20859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05-4D94-92F6-229F3B9E4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Графики!$B$85:$B$89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Графики!$B$85:$B$89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A3-46AA-B8F5-7B02D65CF6D8}"/>
            </c:ext>
          </c:extLst>
        </c:ser>
        <c:ser>
          <c:idx val="1"/>
          <c:order val="1"/>
          <c:tx>
            <c:v>По результатам измерений</c:v>
          </c:tx>
          <c:spPr>
            <a:ln w="19050" cap="rnd">
              <a:solidFill>
                <a:srgbClr val="80008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800080"/>
              </a:solidFill>
              <a:ln w="9525">
                <a:solidFill>
                  <a:srgbClr val="80008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5.416129318403606E-3"/>
                  <c:y val="2.79756193578698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545-4A2F-83DA-F59F9BF5313D}"/>
                </c:ext>
              </c:extLst>
            </c:dLbl>
            <c:dLbl>
              <c:idx val="1"/>
              <c:layout>
                <c:manualLayout>
                  <c:x val="-5.4161293184035808E-3"/>
                  <c:y val="3.19721364089941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45-4A2F-83DA-F59F9BF5313D}"/>
                </c:ext>
              </c:extLst>
            </c:dLbl>
            <c:dLbl>
              <c:idx val="2"/>
              <c:layout>
                <c:manualLayout>
                  <c:x val="-1.0832258636807162E-2"/>
                  <c:y val="3.9965170511242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45-4A2F-83DA-F59F9BF5313D}"/>
                </c:ext>
              </c:extLst>
            </c:dLbl>
            <c:dLbl>
              <c:idx val="3"/>
              <c:layout>
                <c:manualLayout>
                  <c:x val="-1.3540323296009052E-2"/>
                  <c:y val="2.7975619357869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45-4A2F-83DA-F59F9BF5313D}"/>
                </c:ext>
              </c:extLst>
            </c:dLbl>
            <c:dLbl>
              <c:idx val="4"/>
              <c:layout>
                <c:manualLayout>
                  <c:x val="-1.0832258636807261E-2"/>
                  <c:y val="2.79756193578698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545-4A2F-83DA-F59F9BF531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80008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Графики!$B$85:$B$89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Графики!$D$85:$D$89</c:f>
              <c:numCache>
                <c:formatCode>General</c:formatCode>
                <c:ptCount val="5"/>
                <c:pt idx="0">
                  <c:v>1</c:v>
                </c:pt>
                <c:pt idx="1">
                  <c:v>2.0499999999999998</c:v>
                </c:pt>
                <c:pt idx="2">
                  <c:v>4.16</c:v>
                </c:pt>
                <c:pt idx="3">
                  <c:v>6.05</c:v>
                </c:pt>
                <c:pt idx="4">
                  <c:v>7.82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A3-46AA-B8F5-7B02D65CF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dLbls>
            <c:delete val="1"/>
          </c:dLbls>
          <c:xVal>
            <c:numRef>
              <c:f>Графики!$B$92:$B$96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Lit>
              <c:formatCode>General</c:formatCode>
              <c:ptCount val="5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70DA-44C8-A843-7B36DE652C47}"/>
            </c:ext>
          </c:extLst>
        </c:ser>
        <c:ser>
          <c:idx val="1"/>
          <c:order val="1"/>
          <c:tx>
            <c:v>По результатам измерений</c:v>
          </c:tx>
          <c:spPr>
            <a:ln w="19050" cap="rnd">
              <a:solidFill>
                <a:srgbClr val="80008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800080"/>
              </a:solidFill>
              <a:ln w="9525">
                <a:solidFill>
                  <a:srgbClr val="800080"/>
                </a:solidFill>
                <a:prstDash val="solid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80008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Графики!$B$92:$B$96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xVal>
          <c:yVal>
            <c:numRef>
              <c:f>Графики!$E$92:$E$96</c:f>
              <c:numCache>
                <c:formatCode>General</c:formatCode>
                <c:ptCount val="5"/>
                <c:pt idx="0">
                  <c:v>1</c:v>
                </c:pt>
                <c:pt idx="1">
                  <c:v>1.04</c:v>
                </c:pt>
                <c:pt idx="2">
                  <c:v>1.06</c:v>
                </c:pt>
                <c:pt idx="3">
                  <c:v>1.03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DA-44C8-A843-7B36DE652C4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10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Графики!$B$63:$B$73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Lit>
              <c:formatCode>General</c:formatCode>
              <c:ptCount val="11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6D7B-4B6D-A474-AB33A534FDFF}"/>
            </c:ext>
          </c:extLst>
        </c:ser>
        <c:ser>
          <c:idx val="0"/>
          <c:order val="1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Графики!$B$63:$B$73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Графики!$D$63:$D$73</c:f>
              <c:numCache>
                <c:formatCode>General</c:formatCode>
                <c:ptCount val="11"/>
                <c:pt idx="0">
                  <c:v>1</c:v>
                </c:pt>
                <c:pt idx="1">
                  <c:v>0.99587000000000003</c:v>
                </c:pt>
                <c:pt idx="2">
                  <c:v>0.94579000000000002</c:v>
                </c:pt>
                <c:pt idx="3">
                  <c:v>0.90585000000000004</c:v>
                </c:pt>
                <c:pt idx="4">
                  <c:v>0.84057000000000004</c:v>
                </c:pt>
                <c:pt idx="5">
                  <c:v>0.79834000000000005</c:v>
                </c:pt>
                <c:pt idx="6">
                  <c:v>0.76288999999999996</c:v>
                </c:pt>
                <c:pt idx="7">
                  <c:v>0.72594999999999998</c:v>
                </c:pt>
                <c:pt idx="8">
                  <c:v>0.67669999999999997</c:v>
                </c:pt>
                <c:pt idx="9">
                  <c:v>0.64373000000000002</c:v>
                </c:pt>
                <c:pt idx="10">
                  <c:v>0.60807999999999995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7B-4B6D-A474-AB33A534F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5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Графики!$B$35:$B$45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Графики!$B$35:$B$45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54-40B7-B3DE-902460020A72}"/>
            </c:ext>
          </c:extLst>
        </c:ser>
        <c:ser>
          <c:idx val="0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Графики!$B$49:$B$59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Графики!$C$49:$C$59</c:f>
              <c:numCache>
                <c:formatCode>General</c:formatCode>
                <c:ptCount val="11"/>
                <c:pt idx="0">
                  <c:v>1</c:v>
                </c:pt>
                <c:pt idx="1">
                  <c:v>1.99779</c:v>
                </c:pt>
                <c:pt idx="2">
                  <c:v>3.8686699999999998</c:v>
                </c:pt>
                <c:pt idx="3">
                  <c:v>5.5818700000000003</c:v>
                </c:pt>
                <c:pt idx="4">
                  <c:v>6.7496900000000002</c:v>
                </c:pt>
                <c:pt idx="5">
                  <c:v>8.1381399999999999</c:v>
                </c:pt>
                <c:pt idx="6">
                  <c:v>9.5422499999999992</c:v>
                </c:pt>
                <c:pt idx="7">
                  <c:v>9.9085900000000002</c:v>
                </c:pt>
                <c:pt idx="8">
                  <c:v>10.52427</c:v>
                </c:pt>
                <c:pt idx="9">
                  <c:v>10.690340000000001</c:v>
                </c:pt>
                <c:pt idx="10">
                  <c:v>11.12936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54-40B7-B3DE-902460020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5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Графики!$B$35:$B$45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Графики!$C$35:$C$45</c:f>
              <c:numCache>
                <c:formatCode>General</c:formatCode>
                <c:ptCount val="11"/>
                <c:pt idx="0">
                  <c:v>5420</c:v>
                </c:pt>
                <c:pt idx="1">
                  <c:v>2713</c:v>
                </c:pt>
                <c:pt idx="2">
                  <c:v>1401</c:v>
                </c:pt>
                <c:pt idx="3">
                  <c:v>971</c:v>
                </c:pt>
                <c:pt idx="4">
                  <c:v>803</c:v>
                </c:pt>
                <c:pt idx="5">
                  <c:v>666</c:v>
                </c:pt>
                <c:pt idx="6">
                  <c:v>568</c:v>
                </c:pt>
                <c:pt idx="7">
                  <c:v>547</c:v>
                </c:pt>
                <c:pt idx="8">
                  <c:v>515</c:v>
                </c:pt>
                <c:pt idx="9">
                  <c:v>507</c:v>
                </c:pt>
                <c:pt idx="10">
                  <c:v>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A1-4E3E-AC6A-8E62D6980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GOST Common" panose="020B0604020202020204" pitchFamily="34" charset="0"/>
              </a:rPr>
              <a:t>n</a:t>
            </a:r>
            <a:r>
              <a:rPr lang="en-US" baseline="0">
                <a:latin typeface="GOST Common" panose="020B0604020202020204" pitchFamily="34" charset="0"/>
              </a:rPr>
              <a:t> = </a:t>
            </a:r>
            <a:r>
              <a:rPr lang="ru-RU" baseline="0">
                <a:latin typeface="GOST Common" panose="020B0604020202020204" pitchFamily="34" charset="0"/>
              </a:rPr>
              <a:t>5</a:t>
            </a:r>
            <a:r>
              <a:rPr lang="en-US" baseline="0">
                <a:latin typeface="GOST Common" panose="020B0604020202020204" pitchFamily="34" charset="0"/>
              </a:rPr>
              <a:t>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Графики!$B$63:$B$73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Lit>
              <c:formatCode>General</c:formatCode>
              <c:ptCount val="11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D18B-49E7-A7BC-B46AF7E29E84}"/>
            </c:ext>
          </c:extLst>
        </c:ser>
        <c:ser>
          <c:idx val="0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Графики!$B$63:$B$73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Графики!$C$63:$C$73</c:f>
              <c:numCache>
                <c:formatCode>General</c:formatCode>
                <c:ptCount val="11"/>
                <c:pt idx="0">
                  <c:v>1</c:v>
                </c:pt>
                <c:pt idx="1">
                  <c:v>0.99890000000000001</c:v>
                </c:pt>
                <c:pt idx="2">
                  <c:v>0.96716999999999997</c:v>
                </c:pt>
                <c:pt idx="3">
                  <c:v>0.93030999999999997</c:v>
                </c:pt>
                <c:pt idx="4">
                  <c:v>0.84370999999999996</c:v>
                </c:pt>
                <c:pt idx="5">
                  <c:v>0.81381000000000003</c:v>
                </c:pt>
                <c:pt idx="6">
                  <c:v>0.79518999999999995</c:v>
                </c:pt>
                <c:pt idx="7">
                  <c:v>0.70775999999999994</c:v>
                </c:pt>
                <c:pt idx="8">
                  <c:v>0.65776999999999997</c:v>
                </c:pt>
                <c:pt idx="9">
                  <c:v>0.59391000000000005</c:v>
                </c:pt>
                <c:pt idx="10">
                  <c:v>0.55647000000000002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8B-49E7-A7BC-B46AF7E29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850806587339424E-2"/>
          <c:y val="6.3855187741664307E-2"/>
          <c:w val="0.89305011063120499"/>
          <c:h val="0.78289032691646954"/>
        </c:manualLayout>
      </c:layout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Графики!$B$49:$B$59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Графики!$B$49:$B$59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7E-4883-81C7-414FAF8B60C3}"/>
            </c:ext>
          </c:extLst>
        </c:ser>
        <c:ser>
          <c:idx val="0"/>
          <c:order val="1"/>
          <c:tx>
            <c:v>По результатам измерений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2.7055965797850605E-3"/>
                  <c:y val="1.33052282213319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E6-47B7-B7E5-348F3FE15B17}"/>
                </c:ext>
              </c:extLst>
            </c:dLbl>
            <c:dLbl>
              <c:idx val="2"/>
              <c:layout>
                <c:manualLayout>
                  <c:x val="-5.4111931595701209E-3"/>
                  <c:y val="1.6631535276664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1E6-47B7-B7E5-348F3FE15B17}"/>
                </c:ext>
              </c:extLst>
            </c:dLbl>
            <c:dLbl>
              <c:idx val="3"/>
              <c:layout>
                <c:manualLayout>
                  <c:x val="-5.4059806321166328E-3"/>
                  <c:y val="2.32841493873309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E6-47B7-B7E5-348F3FE15B17}"/>
                </c:ext>
              </c:extLst>
            </c:dLbl>
            <c:dLbl>
              <c:idx val="6"/>
              <c:layout>
                <c:manualLayout>
                  <c:x val="-8.108970948175049E-3"/>
                  <c:y val="3.32630705533298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E6-47B7-B7E5-348F3FE15B17}"/>
                </c:ext>
              </c:extLst>
            </c:dLbl>
            <c:dLbl>
              <c:idx val="7"/>
              <c:layout>
                <c:manualLayout>
                  <c:x val="-8.1089072926267738E-3"/>
                  <c:y val="1.33052282213319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1E6-47B7-B7E5-348F3FE15B17}"/>
                </c:ext>
              </c:extLst>
            </c:dLbl>
            <c:dLbl>
              <c:idx val="8"/>
              <c:layout>
                <c:manualLayout>
                  <c:x val="-1.3514951580291682E-2"/>
                  <c:y val="3.32630705533298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E6-47B7-B7E5-348F3FE15B17}"/>
                </c:ext>
              </c:extLst>
            </c:dLbl>
            <c:dLbl>
              <c:idx val="9"/>
              <c:layout>
                <c:manualLayout>
                  <c:x val="-1.0817273380721752E-2"/>
                  <c:y val="1.33052282213319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E6-47B7-B7E5-348F3FE15B17}"/>
                </c:ext>
              </c:extLst>
            </c:dLbl>
            <c:dLbl>
              <c:idx val="10"/>
              <c:layout>
                <c:manualLayout>
                  <c:x val="-1.3522869960506811E-2"/>
                  <c:y val="1.99578423319979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E6-47B7-B7E5-348F3FE15B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Графики!$B$49:$B$59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Графики!$E$49:$E$59</c:f>
              <c:numCache>
                <c:formatCode>General</c:formatCode>
                <c:ptCount val="11"/>
                <c:pt idx="0">
                  <c:v>1</c:v>
                </c:pt>
                <c:pt idx="1">
                  <c:v>2.0299999999999998</c:v>
                </c:pt>
                <c:pt idx="2">
                  <c:v>3.95</c:v>
                </c:pt>
                <c:pt idx="3">
                  <c:v>5.75</c:v>
                </c:pt>
                <c:pt idx="4">
                  <c:v>6.99</c:v>
                </c:pt>
                <c:pt idx="5">
                  <c:v>8.57</c:v>
                </c:pt>
                <c:pt idx="6">
                  <c:v>10.37</c:v>
                </c:pt>
                <c:pt idx="7">
                  <c:v>11.13</c:v>
                </c:pt>
                <c:pt idx="8">
                  <c:v>12.51</c:v>
                </c:pt>
                <c:pt idx="9">
                  <c:v>12.95</c:v>
                </c:pt>
                <c:pt idx="10">
                  <c:v>14.07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7E-4883-81C7-414FAF8B6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  <c:majorUnit val="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aseline="0">
                <a:latin typeface="GOST Common" panose="020B0604020202020204" pitchFamily="34" charset="0"/>
              </a:rPr>
              <a:t>Время (мс)</a:t>
            </a:r>
            <a:endParaRPr lang="en-US" baseline="0">
              <a:latin typeface="GOST Common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Графики!$B$35:$B$45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Графики!$E$35:$E$45</c:f>
              <c:numCache>
                <c:formatCode>General</c:formatCode>
                <c:ptCount val="11"/>
                <c:pt idx="0">
                  <c:v>144977</c:v>
                </c:pt>
                <c:pt idx="1">
                  <c:v>71552</c:v>
                </c:pt>
                <c:pt idx="2">
                  <c:v>36660</c:v>
                </c:pt>
                <c:pt idx="3">
                  <c:v>25225</c:v>
                </c:pt>
                <c:pt idx="4">
                  <c:v>20733</c:v>
                </c:pt>
                <c:pt idx="5">
                  <c:v>16914</c:v>
                </c:pt>
                <c:pt idx="6">
                  <c:v>13976</c:v>
                </c:pt>
                <c:pt idx="7">
                  <c:v>13026</c:v>
                </c:pt>
                <c:pt idx="8">
                  <c:v>11592</c:v>
                </c:pt>
                <c:pt idx="9">
                  <c:v>11199</c:v>
                </c:pt>
                <c:pt idx="10">
                  <c:v>10302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3B-4B5A-85B8-D4E45DD80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Целевое значение</c:v>
          </c:tx>
          <c:spPr>
            <a:ln w="19050" cap="rnd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bg1">
                    <a:lumMod val="65000"/>
                  </a:schemeClr>
                </a:solidFill>
                <a:prstDash val="sysDash"/>
              </a:ln>
              <a:effectLst/>
            </c:spPr>
          </c:marker>
          <c:xVal>
            <c:numRef>
              <c:f>Графики!$B$63:$B$73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Lit>
              <c:formatCode>General</c:formatCode>
              <c:ptCount val="11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21E-48F6-BEE1-987EDCB03D14}"/>
            </c:ext>
          </c:extLst>
        </c:ser>
        <c:ser>
          <c:idx val="0"/>
          <c:order val="1"/>
          <c:tx>
            <c:v>По результатам измерений</c:v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Графики!$B$63:$B$73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</c:numCache>
            </c:numRef>
          </c:xVal>
          <c:yVal>
            <c:numRef>
              <c:f>Графики!$E$63:$E$73</c:f>
              <c:numCache>
                <c:formatCode>General</c:formatCode>
                <c:ptCount val="11"/>
                <c:pt idx="0">
                  <c:v>1</c:v>
                </c:pt>
                <c:pt idx="1">
                  <c:v>1.0149999999999999</c:v>
                </c:pt>
                <c:pt idx="2">
                  <c:v>0.98750000000000004</c:v>
                </c:pt>
                <c:pt idx="3">
                  <c:v>0.95833000000000002</c:v>
                </c:pt>
                <c:pt idx="4">
                  <c:v>0.87375000000000003</c:v>
                </c:pt>
                <c:pt idx="5">
                  <c:v>0.85699999999999998</c:v>
                </c:pt>
                <c:pt idx="6">
                  <c:v>0.86416999999999999</c:v>
                </c:pt>
                <c:pt idx="7">
                  <c:v>0.79500000000000004</c:v>
                </c:pt>
                <c:pt idx="8">
                  <c:v>0.78188000000000002</c:v>
                </c:pt>
                <c:pt idx="9">
                  <c:v>0.71943999999999997</c:v>
                </c:pt>
                <c:pt idx="10">
                  <c:v>0.70350000000000001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1E-48F6-BEE1-987EDCB03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  <c:majorUnit val="2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0394810827779963"/>
                  <c:y val="2.300570569489809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CC-4535-B1DC-004D55021BBB}"/>
                </c:ext>
              </c:extLst>
            </c:dLbl>
            <c:dLbl>
              <c:idx val="4"/>
              <c:layout>
                <c:manualLayout>
                  <c:x val="-2.0259727566940694E-2"/>
                  <c:y val="3.9666894444979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CC-4535-B1DC-004D55021B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К1921ВГ1Т!$B$5:$B$9</c:f>
              <c:numCache>
                <c:formatCode>General</c:formatCode>
                <c:ptCount val="5"/>
                <c:pt idx="0">
                  <c:v>150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</c:numCache>
            </c:numRef>
          </c:xVal>
          <c:yVal>
            <c:numRef>
              <c:f>К1921ВГ1Т!$C$5:$C$9</c:f>
              <c:numCache>
                <c:formatCode>General</c:formatCode>
                <c:ptCount val="5"/>
                <c:pt idx="0">
                  <c:v>1316</c:v>
                </c:pt>
                <c:pt idx="1">
                  <c:v>3128</c:v>
                </c:pt>
                <c:pt idx="2">
                  <c:v>6089</c:v>
                </c:pt>
                <c:pt idx="3">
                  <c:v>10559</c:v>
                </c:pt>
                <c:pt idx="4">
                  <c:v>16711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CC-4535-B1DC-004D55021BB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71156463"/>
        <c:axId val="1826559071"/>
      </c:scatterChart>
      <c:valAx>
        <c:axId val="1871156463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26559071"/>
        <c:crosses val="autoZero"/>
        <c:crossBetween val="midCat"/>
      </c:valAx>
      <c:valAx>
        <c:axId val="182655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156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9054</xdr:colOff>
      <xdr:row>9</xdr:row>
      <xdr:rowOff>113168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961FC46-71F7-472B-8EAE-01A8FB008E7E}"/>
            </a:ext>
          </a:extLst>
        </xdr:cNvPr>
        <xdr:cNvSpPr txBox="1"/>
      </xdr:nvSpPr>
      <xdr:spPr>
        <a:xfrm>
          <a:off x="9252642" y="17767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14</xdr:row>
      <xdr:rowOff>113168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6AA70DB-46B9-42DF-B1CC-BDA118E5CA2E}"/>
            </a:ext>
          </a:extLst>
        </xdr:cNvPr>
        <xdr:cNvSpPr txBox="1"/>
      </xdr:nvSpPr>
      <xdr:spPr>
        <a:xfrm>
          <a:off x="9252642" y="1889910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11</xdr:row>
      <xdr:rowOff>25865</xdr:rowOff>
    </xdr:from>
    <xdr:to>
      <xdr:col>14</xdr:col>
      <xdr:colOff>875168</xdr:colOff>
      <xdr:row>20</xdr:row>
      <xdr:rowOff>252435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AAC94C7-C274-4F67-B19A-E803FDA94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21</xdr:row>
      <xdr:rowOff>25867</xdr:rowOff>
    </xdr:from>
    <xdr:to>
      <xdr:col>14</xdr:col>
      <xdr:colOff>875168</xdr:colOff>
      <xdr:row>30</xdr:row>
      <xdr:rowOff>252438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A381E86-F88F-43A1-9256-9EB3510406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25867</xdr:rowOff>
    </xdr:from>
    <xdr:to>
      <xdr:col>14</xdr:col>
      <xdr:colOff>875168</xdr:colOff>
      <xdr:row>10</xdr:row>
      <xdr:rowOff>252434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7D021B9-B585-4341-B7AA-6201BC4B9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11</xdr:row>
      <xdr:rowOff>25865</xdr:rowOff>
    </xdr:from>
    <xdr:to>
      <xdr:col>9</xdr:col>
      <xdr:colOff>875169</xdr:colOff>
      <xdr:row>20</xdr:row>
      <xdr:rowOff>252435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E2EDE0D-AFF2-437E-BFC4-4041C6A93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21</xdr:row>
      <xdr:rowOff>25867</xdr:rowOff>
    </xdr:from>
    <xdr:to>
      <xdr:col>9</xdr:col>
      <xdr:colOff>875169</xdr:colOff>
      <xdr:row>30</xdr:row>
      <xdr:rowOff>252438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CDBE60C-B23C-41A6-8A53-D05D3F444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1</xdr:row>
      <xdr:rowOff>25867</xdr:rowOff>
    </xdr:from>
    <xdr:to>
      <xdr:col>9</xdr:col>
      <xdr:colOff>875169</xdr:colOff>
      <xdr:row>10</xdr:row>
      <xdr:rowOff>252434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3A588293-9445-426C-89A7-F9F57A78E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11</xdr:row>
      <xdr:rowOff>25865</xdr:rowOff>
    </xdr:from>
    <xdr:to>
      <xdr:col>19</xdr:col>
      <xdr:colOff>875169</xdr:colOff>
      <xdr:row>20</xdr:row>
      <xdr:rowOff>252435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33C5BCD6-55B8-47CD-B394-1A6C8F03E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0</xdr:colOff>
      <xdr:row>21</xdr:row>
      <xdr:rowOff>25867</xdr:rowOff>
    </xdr:from>
    <xdr:to>
      <xdr:col>19</xdr:col>
      <xdr:colOff>875169</xdr:colOff>
      <xdr:row>30</xdr:row>
      <xdr:rowOff>252438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998154A6-91DC-4FCC-AE14-B3D00B370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1</xdr:row>
      <xdr:rowOff>25867</xdr:rowOff>
    </xdr:from>
    <xdr:to>
      <xdr:col>19</xdr:col>
      <xdr:colOff>875169</xdr:colOff>
      <xdr:row>10</xdr:row>
      <xdr:rowOff>252434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C83FD2E4-DEA4-46D2-A656-F90945119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211247</xdr:colOff>
      <xdr:row>32</xdr:row>
      <xdr:rowOff>0</xdr:rowOff>
    </xdr:from>
    <xdr:to>
      <xdr:col>19</xdr:col>
      <xdr:colOff>363150</xdr:colOff>
      <xdr:row>45</xdr:row>
      <xdr:rowOff>245738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E39D4F08-1568-400C-BF37-99181CC662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211247</xdr:colOff>
      <xdr:row>45</xdr:row>
      <xdr:rowOff>256514</xdr:rowOff>
    </xdr:from>
    <xdr:to>
      <xdr:col>19</xdr:col>
      <xdr:colOff>377226</xdr:colOff>
      <xdr:row>59</xdr:row>
      <xdr:rowOff>237836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0F9E2140-7ACC-41A3-A5A2-5A1A351973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85</xdr:row>
      <xdr:rowOff>0</xdr:rowOff>
    </xdr:from>
    <xdr:to>
      <xdr:col>10</xdr:col>
      <xdr:colOff>2194</xdr:colOff>
      <xdr:row>94</xdr:row>
      <xdr:rowOff>270544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FEA668C9-4363-4F7E-BA77-FA7B6C37A1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0</xdr:colOff>
      <xdr:row>95</xdr:row>
      <xdr:rowOff>0</xdr:rowOff>
    </xdr:from>
    <xdr:to>
      <xdr:col>10</xdr:col>
      <xdr:colOff>2261</xdr:colOff>
      <xdr:row>104</xdr:row>
      <xdr:rowOff>270543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BCDD1185-88C7-4C72-9B52-E86E4D0EA9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0</xdr:colOff>
      <xdr:row>75</xdr:row>
      <xdr:rowOff>0</xdr:rowOff>
    </xdr:from>
    <xdr:to>
      <xdr:col>9</xdr:col>
      <xdr:colOff>862409</xdr:colOff>
      <xdr:row>84</xdr:row>
      <xdr:rowOff>270542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B50867D2-4087-4840-B3EB-D7D3AD789A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0</xdr:colOff>
      <xdr:row>75</xdr:row>
      <xdr:rowOff>0</xdr:rowOff>
    </xdr:from>
    <xdr:to>
      <xdr:col>14</xdr:col>
      <xdr:colOff>871394</xdr:colOff>
      <xdr:row>84</xdr:row>
      <xdr:rowOff>270542</xdr:rowOff>
    </xdr:to>
    <xdr:graphicFrame macro="">
      <xdr:nvGraphicFramePr>
        <xdr:cNvPr id="23" name="Диаграмма 22">
          <a:extLst>
            <a:ext uri="{FF2B5EF4-FFF2-40B4-BE49-F238E27FC236}">
              <a16:creationId xmlns:a16="http://schemas.microsoft.com/office/drawing/2014/main" id="{5700D8A2-C14B-489D-AEE8-5AE873923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0</xdr:colOff>
      <xdr:row>85</xdr:row>
      <xdr:rowOff>0</xdr:rowOff>
    </xdr:from>
    <xdr:to>
      <xdr:col>14</xdr:col>
      <xdr:colOff>871394</xdr:colOff>
      <xdr:row>94</xdr:row>
      <xdr:rowOff>270544</xdr:rowOff>
    </xdr:to>
    <xdr:graphicFrame macro="">
      <xdr:nvGraphicFramePr>
        <xdr:cNvPr id="24" name="Диаграмма 23">
          <a:extLst>
            <a:ext uri="{FF2B5EF4-FFF2-40B4-BE49-F238E27FC236}">
              <a16:creationId xmlns:a16="http://schemas.microsoft.com/office/drawing/2014/main" id="{A1F1206E-5814-45CC-9809-C061E5105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10</xdr:col>
      <xdr:colOff>0</xdr:colOff>
      <xdr:row>95</xdr:row>
      <xdr:rowOff>0</xdr:rowOff>
    </xdr:from>
    <xdr:to>
      <xdr:col>14</xdr:col>
      <xdr:colOff>871394</xdr:colOff>
      <xdr:row>104</xdr:row>
      <xdr:rowOff>270543</xdr:rowOff>
    </xdr:to>
    <xdr:graphicFrame macro="">
      <xdr:nvGraphicFramePr>
        <xdr:cNvPr id="25" name="Диаграмма 24">
          <a:extLst>
            <a:ext uri="{FF2B5EF4-FFF2-40B4-BE49-F238E27FC236}">
              <a16:creationId xmlns:a16="http://schemas.microsoft.com/office/drawing/2014/main" id="{7B2BD63D-3008-4A49-90CA-75E20EC47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0</xdr:colOff>
      <xdr:row>75</xdr:row>
      <xdr:rowOff>0</xdr:rowOff>
    </xdr:from>
    <xdr:to>
      <xdr:col>19</xdr:col>
      <xdr:colOff>871396</xdr:colOff>
      <xdr:row>84</xdr:row>
      <xdr:rowOff>270542</xdr:rowOff>
    </xdr:to>
    <xdr:graphicFrame macro="">
      <xdr:nvGraphicFramePr>
        <xdr:cNvPr id="26" name="Диаграмма 25">
          <a:extLst>
            <a:ext uri="{FF2B5EF4-FFF2-40B4-BE49-F238E27FC236}">
              <a16:creationId xmlns:a16="http://schemas.microsoft.com/office/drawing/2014/main" id="{8B953B9D-49C4-47C2-AF8D-04C0EFC44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15</xdr:col>
      <xdr:colOff>7558</xdr:colOff>
      <xdr:row>85</xdr:row>
      <xdr:rowOff>18895</xdr:rowOff>
    </xdr:from>
    <xdr:to>
      <xdr:col>19</xdr:col>
      <xdr:colOff>852056</xdr:colOff>
      <xdr:row>95</xdr:row>
      <xdr:rowOff>0</xdr:rowOff>
    </xdr:to>
    <xdr:graphicFrame macro="">
      <xdr:nvGraphicFramePr>
        <xdr:cNvPr id="27" name="Диаграмма 26">
          <a:extLst>
            <a:ext uri="{FF2B5EF4-FFF2-40B4-BE49-F238E27FC236}">
              <a16:creationId xmlns:a16="http://schemas.microsoft.com/office/drawing/2014/main" id="{C4F4FE8E-157F-420B-A25F-91A08BAC6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15</xdr:col>
      <xdr:colOff>22192</xdr:colOff>
      <xdr:row>95</xdr:row>
      <xdr:rowOff>21278</xdr:rowOff>
    </xdr:from>
    <xdr:to>
      <xdr:col>19</xdr:col>
      <xdr:colOff>858981</xdr:colOff>
      <xdr:row>104</xdr:row>
      <xdr:rowOff>267855</xdr:rowOff>
    </xdr:to>
    <xdr:graphicFrame macro="">
      <xdr:nvGraphicFramePr>
        <xdr:cNvPr id="28" name="Диаграмма 27">
          <a:extLst>
            <a:ext uri="{FF2B5EF4-FFF2-40B4-BE49-F238E27FC236}">
              <a16:creationId xmlns:a16="http://schemas.microsoft.com/office/drawing/2014/main" id="{42D49859-2B83-43A2-8A47-1ECF2A0EA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165980</xdr:colOff>
      <xdr:row>60</xdr:row>
      <xdr:rowOff>0</xdr:rowOff>
    </xdr:from>
    <xdr:to>
      <xdr:col>19</xdr:col>
      <xdr:colOff>377229</xdr:colOff>
      <xdr:row>73</xdr:row>
      <xdr:rowOff>260673</xdr:rowOff>
    </xdr:to>
    <xdr:graphicFrame macro="">
      <xdr:nvGraphicFramePr>
        <xdr:cNvPr id="36" name="Диаграмма 35">
          <a:extLst>
            <a:ext uri="{FF2B5EF4-FFF2-40B4-BE49-F238E27FC236}">
              <a16:creationId xmlns:a16="http://schemas.microsoft.com/office/drawing/2014/main" id="{D18E13B8-4489-4105-8B99-DEC0DAD75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0</xdr:colOff>
      <xdr:row>46</xdr:row>
      <xdr:rowOff>0</xdr:rowOff>
    </xdr:from>
    <xdr:to>
      <xdr:col>12</xdr:col>
      <xdr:colOff>181069</xdr:colOff>
      <xdr:row>59</xdr:row>
      <xdr:rowOff>268401</xdr:rowOff>
    </xdr:to>
    <xdr:graphicFrame macro="">
      <xdr:nvGraphicFramePr>
        <xdr:cNvPr id="29" name="Диаграмма 28">
          <a:extLst>
            <a:ext uri="{FF2B5EF4-FFF2-40B4-BE49-F238E27FC236}">
              <a16:creationId xmlns:a16="http://schemas.microsoft.com/office/drawing/2014/main" id="{84FBD2A6-A876-412B-9C4A-277DC29F9F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0</xdr:colOff>
      <xdr:row>32</xdr:row>
      <xdr:rowOff>0</xdr:rowOff>
    </xdr:from>
    <xdr:to>
      <xdr:col>12</xdr:col>
      <xdr:colOff>200612</xdr:colOff>
      <xdr:row>45</xdr:row>
      <xdr:rowOff>245193</xdr:rowOff>
    </xdr:to>
    <xdr:graphicFrame macro="">
      <xdr:nvGraphicFramePr>
        <xdr:cNvPr id="31" name="Диаграмма 30">
          <a:extLst>
            <a:ext uri="{FF2B5EF4-FFF2-40B4-BE49-F238E27FC236}">
              <a16:creationId xmlns:a16="http://schemas.microsoft.com/office/drawing/2014/main" id="{2ED92C0A-9F94-470A-9D57-9322E11DC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0</xdr:colOff>
      <xdr:row>60</xdr:row>
      <xdr:rowOff>0</xdr:rowOff>
    </xdr:from>
    <xdr:to>
      <xdr:col>12</xdr:col>
      <xdr:colOff>191218</xdr:colOff>
      <xdr:row>73</xdr:row>
      <xdr:rowOff>245195</xdr:rowOff>
    </xdr:to>
    <xdr:graphicFrame macro="">
      <xdr:nvGraphicFramePr>
        <xdr:cNvPr id="33" name="Диаграмма 32">
          <a:extLst>
            <a:ext uri="{FF2B5EF4-FFF2-40B4-BE49-F238E27FC236}">
              <a16:creationId xmlns:a16="http://schemas.microsoft.com/office/drawing/2014/main" id="{E82F7F8F-D948-4E03-999C-B254E4F62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19</xdr:col>
      <xdr:colOff>404366</xdr:colOff>
      <xdr:row>45</xdr:row>
      <xdr:rowOff>272562</xdr:rowOff>
    </xdr:from>
    <xdr:to>
      <xdr:col>26</xdr:col>
      <xdr:colOff>847897</xdr:colOff>
      <xdr:row>59</xdr:row>
      <xdr:rowOff>266008</xdr:rowOff>
    </xdr:to>
    <xdr:graphicFrame macro="">
      <xdr:nvGraphicFramePr>
        <xdr:cNvPr id="40" name="Диаграмма 39">
          <a:extLst>
            <a:ext uri="{FF2B5EF4-FFF2-40B4-BE49-F238E27FC236}">
              <a16:creationId xmlns:a16="http://schemas.microsoft.com/office/drawing/2014/main" id="{43C2C672-A793-49B6-B21E-A698FB9B6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19</xdr:col>
      <xdr:colOff>384771</xdr:colOff>
      <xdr:row>32</xdr:row>
      <xdr:rowOff>20371</xdr:rowOff>
    </xdr:from>
    <xdr:to>
      <xdr:col>26</xdr:col>
      <xdr:colOff>851025</xdr:colOff>
      <xdr:row>45</xdr:row>
      <xdr:rowOff>235390</xdr:rowOff>
    </xdr:to>
    <xdr:graphicFrame macro="">
      <xdr:nvGraphicFramePr>
        <xdr:cNvPr id="41" name="Диаграмма 40">
          <a:extLst>
            <a:ext uri="{FF2B5EF4-FFF2-40B4-BE49-F238E27FC236}">
              <a16:creationId xmlns:a16="http://schemas.microsoft.com/office/drawing/2014/main" id="{0A6DCBCC-088D-4518-B427-C896CF009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19</xdr:col>
      <xdr:colOff>396269</xdr:colOff>
      <xdr:row>60</xdr:row>
      <xdr:rowOff>5637</xdr:rowOff>
    </xdr:from>
    <xdr:to>
      <xdr:col>26</xdr:col>
      <xdr:colOff>819398</xdr:colOff>
      <xdr:row>73</xdr:row>
      <xdr:rowOff>249382</xdr:rowOff>
    </xdr:to>
    <xdr:graphicFrame macro="">
      <xdr:nvGraphicFramePr>
        <xdr:cNvPr id="42" name="Диаграмма 41">
          <a:extLst>
            <a:ext uri="{FF2B5EF4-FFF2-40B4-BE49-F238E27FC236}">
              <a16:creationId xmlns:a16="http://schemas.microsoft.com/office/drawing/2014/main" id="{B5431F49-1790-4BEC-BE42-D34F3168C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9054</xdr:colOff>
      <xdr:row>8</xdr:row>
      <xdr:rowOff>113168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27C40F3-13E6-48F1-943D-4310E1495EA8}"/>
            </a:ext>
          </a:extLst>
        </xdr:cNvPr>
        <xdr:cNvSpPr txBox="1"/>
      </xdr:nvSpPr>
      <xdr:spPr>
        <a:xfrm>
          <a:off x="8365403" y="57806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13</xdr:row>
      <xdr:rowOff>113168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093D744-D74B-4593-903E-446A2AC939BF}"/>
            </a:ext>
          </a:extLst>
        </xdr:cNvPr>
        <xdr:cNvSpPr txBox="1"/>
      </xdr:nvSpPr>
      <xdr:spPr>
        <a:xfrm>
          <a:off x="8365403" y="65501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27</xdr:row>
      <xdr:rowOff>113168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4EFA4A6-A70C-43DC-BBB7-2A6A3B9C1DDD}"/>
            </a:ext>
          </a:extLst>
        </xdr:cNvPr>
        <xdr:cNvSpPr txBox="1"/>
      </xdr:nvSpPr>
      <xdr:spPr>
        <a:xfrm>
          <a:off x="8510258" y="18514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32</xdr:row>
      <xdr:rowOff>113168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23E637A-5992-456F-B7A9-7DBB8A2D5FC8}"/>
            </a:ext>
          </a:extLst>
        </xdr:cNvPr>
        <xdr:cNvSpPr txBox="1"/>
      </xdr:nvSpPr>
      <xdr:spPr>
        <a:xfrm>
          <a:off x="8510258" y="293784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47</xdr:row>
      <xdr:rowOff>113168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CC328BD-B47F-4009-AD8A-D87309DD65B1}"/>
            </a:ext>
          </a:extLst>
        </xdr:cNvPr>
        <xdr:cNvSpPr txBox="1"/>
      </xdr:nvSpPr>
      <xdr:spPr>
        <a:xfrm>
          <a:off x="8510258" y="623331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oneCellAnchor>
    <xdr:from>
      <xdr:col>4</xdr:col>
      <xdr:colOff>9054</xdr:colOff>
      <xdr:row>52</xdr:row>
      <xdr:rowOff>113168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0221359-63EF-4126-8018-AB51CDF9EFC4}"/>
            </a:ext>
          </a:extLst>
        </xdr:cNvPr>
        <xdr:cNvSpPr txBox="1"/>
      </xdr:nvSpPr>
      <xdr:spPr>
        <a:xfrm>
          <a:off x="8510258" y="736499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38080</xdr:colOff>
      <xdr:row>1</xdr:row>
      <xdr:rowOff>19186</xdr:rowOff>
    </xdr:from>
    <xdr:to>
      <xdr:col>8</xdr:col>
      <xdr:colOff>656246</xdr:colOff>
      <xdr:row>9</xdr:row>
      <xdr:rowOff>24940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E9A3195-A340-4228-AFF7-A2AA56288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ld_versions_statist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аблица"/>
      <sheetName val="Графики"/>
      <sheetName val="Про ноутбук"/>
      <sheetName val="Про кластер"/>
    </sheetNames>
    <sheetDataSet>
      <sheetData sheetId="0"/>
      <sheetData sheetId="1">
        <row r="37">
          <cell r="B37">
            <v>1</v>
          </cell>
        </row>
        <row r="38">
          <cell r="B38">
            <v>2</v>
          </cell>
        </row>
        <row r="39">
          <cell r="B39">
            <v>4</v>
          </cell>
        </row>
        <row r="40">
          <cell r="B40">
            <v>6</v>
          </cell>
        </row>
        <row r="41">
          <cell r="B41">
            <v>8</v>
          </cell>
        </row>
        <row r="42">
          <cell r="B42">
            <v>10</v>
          </cell>
        </row>
        <row r="43">
          <cell r="B43">
            <v>12</v>
          </cell>
        </row>
        <row r="44">
          <cell r="B44">
            <v>16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6B2D-C446-466B-9C71-121C80824D6F}">
  <dimension ref="A1:S25"/>
  <sheetViews>
    <sheetView workbookViewId="0">
      <selection activeCell="L5" sqref="L5:L6"/>
    </sheetView>
  </sheetViews>
  <sheetFormatPr defaultRowHeight="15.05" x14ac:dyDescent="0.3"/>
  <cols>
    <col min="1" max="1" width="66.6640625" bestFit="1" customWidth="1"/>
    <col min="2" max="5" width="21.6640625" customWidth="1"/>
    <col min="7" max="19" width="11.6640625" customWidth="1"/>
  </cols>
  <sheetData>
    <row r="1" spans="1:19" ht="17.350000000000001" customHeight="1" x14ac:dyDescent="0.3">
      <c r="A1" s="54" t="s">
        <v>17</v>
      </c>
      <c r="B1" s="55"/>
      <c r="C1" s="61"/>
      <c r="D1" s="62" t="s">
        <v>18</v>
      </c>
      <c r="E1" s="62" t="s">
        <v>19</v>
      </c>
    </row>
    <row r="2" spans="1:19" ht="17.350000000000001" customHeight="1" x14ac:dyDescent="0.3">
      <c r="A2" s="22" t="s">
        <v>20</v>
      </c>
      <c r="B2" s="63" t="s">
        <v>21</v>
      </c>
      <c r="C2" s="63"/>
      <c r="D2" s="63"/>
      <c r="E2" s="63"/>
    </row>
    <row r="3" spans="1:19" ht="17.350000000000001" customHeight="1" x14ac:dyDescent="0.3">
      <c r="A3" s="60" t="s">
        <v>22</v>
      </c>
      <c r="B3" s="60"/>
      <c r="C3" s="60"/>
      <c r="D3" s="60"/>
      <c r="E3" s="60"/>
    </row>
    <row r="4" spans="1:19" ht="17.350000000000001" customHeight="1" x14ac:dyDescent="0.3">
      <c r="A4" s="23" t="s">
        <v>23</v>
      </c>
      <c r="B4" s="24">
        <v>1000</v>
      </c>
      <c r="C4" s="24">
        <v>3000</v>
      </c>
      <c r="D4" s="24">
        <v>7000</v>
      </c>
      <c r="E4" s="24">
        <v>10000</v>
      </c>
    </row>
    <row r="5" spans="1:19" ht="17.350000000000001" customHeight="1" x14ac:dyDescent="0.3">
      <c r="A5" s="23" t="s">
        <v>24</v>
      </c>
      <c r="B5" s="25">
        <v>13</v>
      </c>
      <c r="C5" s="25">
        <v>117</v>
      </c>
      <c r="D5" s="25">
        <v>633</v>
      </c>
      <c r="E5" s="25">
        <v>1101</v>
      </c>
    </row>
    <row r="6" spans="1:19" ht="17.350000000000001" customHeight="1" x14ac:dyDescent="0.3">
      <c r="A6" s="26" t="s">
        <v>25</v>
      </c>
      <c r="B6" s="27">
        <v>50</v>
      </c>
      <c r="C6" s="27">
        <v>461</v>
      </c>
      <c r="D6" s="27">
        <v>4644</v>
      </c>
      <c r="E6" s="27">
        <v>11709</v>
      </c>
      <c r="Q6" s="19"/>
      <c r="R6" s="19"/>
      <c r="S6" s="19"/>
    </row>
    <row r="7" spans="1:19" ht="17.350000000000001" customHeight="1" x14ac:dyDescent="0.3">
      <c r="A7" s="23" t="s">
        <v>26</v>
      </c>
      <c r="B7" s="25">
        <v>64</v>
      </c>
      <c r="C7" s="25">
        <v>582</v>
      </c>
      <c r="D7" s="25">
        <v>5284</v>
      </c>
      <c r="E7" s="25">
        <v>12810</v>
      </c>
      <c r="Q7" s="19"/>
      <c r="R7" s="19"/>
      <c r="S7" s="19"/>
    </row>
    <row r="8" spans="1:19" ht="17.350000000000001" customHeight="1" x14ac:dyDescent="0.3">
      <c r="A8" s="60" t="s">
        <v>27</v>
      </c>
      <c r="B8" s="60"/>
      <c r="C8" s="60"/>
      <c r="D8" s="60"/>
      <c r="E8" s="60"/>
      <c r="F8" s="28"/>
      <c r="Q8" s="19"/>
      <c r="R8" s="19"/>
      <c r="S8" s="19"/>
    </row>
    <row r="9" spans="1:19" ht="17.350000000000001" customHeight="1" x14ac:dyDescent="0.3">
      <c r="A9" s="23" t="s">
        <v>23</v>
      </c>
      <c r="B9" s="24">
        <v>3000</v>
      </c>
      <c r="C9" s="24">
        <v>5000</v>
      </c>
      <c r="D9" s="24">
        <v>7000</v>
      </c>
      <c r="E9" s="24">
        <v>10000</v>
      </c>
      <c r="F9" s="28"/>
      <c r="G9" s="51" t="s">
        <v>29</v>
      </c>
      <c r="H9" s="56" t="s">
        <v>28</v>
      </c>
      <c r="I9" s="57"/>
      <c r="J9" s="57"/>
      <c r="K9" s="57"/>
      <c r="L9" s="57"/>
      <c r="M9" s="53" t="s">
        <v>50</v>
      </c>
      <c r="N9" s="53"/>
      <c r="O9" s="53"/>
      <c r="P9" s="53"/>
      <c r="Q9" s="53"/>
    </row>
    <row r="10" spans="1:19" ht="17.350000000000001" customHeight="1" x14ac:dyDescent="0.3">
      <c r="A10" s="23" t="s">
        <v>24</v>
      </c>
      <c r="B10" s="25">
        <v>1175</v>
      </c>
      <c r="C10" s="25">
        <v>2668</v>
      </c>
      <c r="D10" s="25">
        <v>4787</v>
      </c>
      <c r="E10" s="25">
        <v>9358</v>
      </c>
      <c r="F10" s="28"/>
      <c r="G10" s="51"/>
      <c r="H10" s="30">
        <v>16</v>
      </c>
      <c r="I10" s="30">
        <v>32</v>
      </c>
      <c r="J10" s="32">
        <v>64</v>
      </c>
      <c r="K10" s="30">
        <v>128</v>
      </c>
      <c r="L10" s="30">
        <v>256</v>
      </c>
      <c r="M10" s="52" t="s">
        <v>49</v>
      </c>
      <c r="N10" s="52"/>
      <c r="O10" s="52"/>
      <c r="P10" s="52" t="s">
        <v>51</v>
      </c>
      <c r="Q10" s="52"/>
    </row>
    <row r="11" spans="1:19" ht="17.350000000000001" customHeight="1" x14ac:dyDescent="0.3">
      <c r="A11" s="26" t="s">
        <v>25</v>
      </c>
      <c r="B11" s="27">
        <v>514</v>
      </c>
      <c r="C11" s="27">
        <v>719</v>
      </c>
      <c r="D11" s="27">
        <v>1689</v>
      </c>
      <c r="E11" s="27">
        <v>3658</v>
      </c>
      <c r="F11" s="28"/>
      <c r="G11" s="38">
        <v>3000</v>
      </c>
      <c r="H11" s="31">
        <v>1776</v>
      </c>
      <c r="I11" s="31">
        <v>946</v>
      </c>
      <c r="J11" s="33">
        <v>756</v>
      </c>
      <c r="K11" s="31">
        <v>801</v>
      </c>
      <c r="L11" s="31">
        <v>1520</v>
      </c>
      <c r="M11" s="48" t="s">
        <v>52</v>
      </c>
      <c r="N11" s="49"/>
      <c r="O11" s="50"/>
      <c r="P11" s="48" t="e">
        <f>100 - ROUND(M11*100 /B11,2)</f>
        <v>#VALUE!</v>
      </c>
      <c r="Q11" s="50"/>
    </row>
    <row r="12" spans="1:19" ht="17.350000000000001" customHeight="1" x14ac:dyDescent="0.3">
      <c r="A12" s="23" t="s">
        <v>26</v>
      </c>
      <c r="B12" s="25">
        <v>1689</v>
      </c>
      <c r="C12" s="25">
        <v>3387</v>
      </c>
      <c r="D12" s="25">
        <v>6476</v>
      </c>
      <c r="E12" s="25">
        <v>12974</v>
      </c>
      <c r="F12" s="28"/>
      <c r="G12" s="38">
        <v>5000</v>
      </c>
      <c r="H12" s="31">
        <v>10592</v>
      </c>
      <c r="I12" s="31">
        <v>5578</v>
      </c>
      <c r="J12" s="33">
        <v>3586</v>
      </c>
      <c r="K12" s="31">
        <v>3763</v>
      </c>
      <c r="L12" s="31">
        <v>4794</v>
      </c>
      <c r="M12" s="48" t="s">
        <v>52</v>
      </c>
      <c r="N12" s="49"/>
      <c r="O12" s="50"/>
      <c r="P12" s="48" t="e">
        <f>100 - ROUND(M12*100 /C11,2)</f>
        <v>#VALUE!</v>
      </c>
      <c r="Q12" s="50"/>
    </row>
    <row r="13" spans="1:19" ht="17.350000000000001" customHeight="1" x14ac:dyDescent="0.3">
      <c r="A13" s="60" t="s">
        <v>40</v>
      </c>
      <c r="B13" s="60"/>
      <c r="C13" s="60"/>
      <c r="D13" s="60"/>
      <c r="E13" s="60"/>
      <c r="F13" s="28"/>
    </row>
    <row r="14" spans="1:19" ht="17.350000000000001" customHeight="1" x14ac:dyDescent="0.3">
      <c r="A14" s="23" t="s">
        <v>23</v>
      </c>
      <c r="B14" s="24">
        <v>2000</v>
      </c>
      <c r="C14" s="24">
        <v>3000</v>
      </c>
      <c r="D14" s="24">
        <v>5000</v>
      </c>
      <c r="E14" s="24">
        <v>7000</v>
      </c>
      <c r="F14" s="28"/>
      <c r="G14" s="58" t="s">
        <v>29</v>
      </c>
      <c r="H14" s="54" t="s">
        <v>28</v>
      </c>
      <c r="I14" s="55"/>
      <c r="J14" s="55"/>
      <c r="K14" s="55"/>
      <c r="L14" s="53" t="s">
        <v>50</v>
      </c>
      <c r="M14" s="53"/>
      <c r="N14" s="53"/>
      <c r="O14" s="53"/>
      <c r="P14" s="53"/>
    </row>
    <row r="15" spans="1:19" ht="17.350000000000001" customHeight="1" x14ac:dyDescent="0.3">
      <c r="A15" s="23" t="s">
        <v>24</v>
      </c>
      <c r="B15" s="25">
        <v>142</v>
      </c>
      <c r="C15" s="25">
        <v>318</v>
      </c>
      <c r="D15" s="25">
        <v>913</v>
      </c>
      <c r="E15" s="25">
        <v>1698</v>
      </c>
      <c r="F15" s="28"/>
      <c r="G15" s="59"/>
      <c r="H15" s="30">
        <v>16</v>
      </c>
      <c r="I15" s="32">
        <v>32</v>
      </c>
      <c r="J15" s="30">
        <v>64</v>
      </c>
      <c r="K15" s="30">
        <v>128</v>
      </c>
      <c r="L15" s="52" t="s">
        <v>49</v>
      </c>
      <c r="M15" s="52"/>
      <c r="N15" s="52"/>
      <c r="O15" s="52" t="s">
        <v>51</v>
      </c>
      <c r="P15" s="52"/>
    </row>
    <row r="16" spans="1:19" ht="17.350000000000001" customHeight="1" x14ac:dyDescent="0.3">
      <c r="A16" s="26" t="s">
        <v>25</v>
      </c>
      <c r="B16" s="27">
        <v>1404</v>
      </c>
      <c r="C16" s="27">
        <v>4611</v>
      </c>
      <c r="D16" s="27">
        <v>21063</v>
      </c>
      <c r="E16" s="27">
        <v>57349</v>
      </c>
      <c r="F16" s="28"/>
      <c r="G16" s="30">
        <v>2000</v>
      </c>
      <c r="H16" s="31">
        <v>2256</v>
      </c>
      <c r="I16" s="33">
        <v>1332</v>
      </c>
      <c r="J16" s="31">
        <v>1844</v>
      </c>
      <c r="K16" s="31">
        <v>4329</v>
      </c>
      <c r="L16" s="48" t="s">
        <v>52</v>
      </c>
      <c r="M16" s="49"/>
      <c r="N16" s="50"/>
      <c r="O16" s="48" t="e">
        <f>100 - ROUND(L16*100 /B16,2)</f>
        <v>#VALUE!</v>
      </c>
      <c r="P16" s="50"/>
    </row>
    <row r="17" spans="1:19" ht="17.350000000000001" customHeight="1" x14ac:dyDescent="0.3">
      <c r="A17" s="23" t="s">
        <v>26</v>
      </c>
      <c r="B17" s="25">
        <v>1546</v>
      </c>
      <c r="C17" s="25">
        <v>4930</v>
      </c>
      <c r="D17" s="25">
        <v>21976</v>
      </c>
      <c r="E17" s="25">
        <v>59047</v>
      </c>
      <c r="F17" s="28"/>
      <c r="G17" s="30">
        <v>3000</v>
      </c>
      <c r="H17" s="31">
        <v>7481</v>
      </c>
      <c r="I17" s="33">
        <v>4620</v>
      </c>
      <c r="J17" s="31">
        <v>5585</v>
      </c>
      <c r="K17" s="31">
        <v>13227</v>
      </c>
      <c r="L17" s="48" t="s">
        <v>52</v>
      </c>
      <c r="M17" s="49"/>
      <c r="N17" s="50"/>
      <c r="O17" s="48" t="e">
        <f>100 - ROUND(L17*100 /C16,2)</f>
        <v>#VALUE!</v>
      </c>
      <c r="P17" s="50"/>
    </row>
    <row r="18" spans="1:19" ht="17.7" x14ac:dyDescent="0.3">
      <c r="F18" s="28"/>
      <c r="Q18" s="19"/>
      <c r="R18" s="19"/>
      <c r="S18" s="19"/>
    </row>
    <row r="19" spans="1:19" x14ac:dyDescent="0.3">
      <c r="Q19" s="19"/>
      <c r="R19" s="19"/>
      <c r="S19" s="19"/>
    </row>
    <row r="20" spans="1:19" ht="20" customHeight="1" x14ac:dyDescent="0.3">
      <c r="Q20" s="19"/>
      <c r="R20" s="19"/>
      <c r="S20" s="19"/>
    </row>
    <row r="21" spans="1:19" ht="20" customHeight="1" x14ac:dyDescent="0.3">
      <c r="Q21" s="19"/>
      <c r="R21" s="19"/>
      <c r="S21" s="19"/>
    </row>
    <row r="22" spans="1:19" ht="20" customHeight="1" x14ac:dyDescent="0.3">
      <c r="Q22" s="19"/>
      <c r="R22" s="19"/>
      <c r="S22" s="19"/>
    </row>
    <row r="23" spans="1:19" ht="20" customHeight="1" x14ac:dyDescent="0.3"/>
    <row r="24" spans="1:19" ht="20" customHeight="1" x14ac:dyDescent="0.3"/>
    <row r="25" spans="1:19" ht="20" customHeight="1" x14ac:dyDescent="0.3"/>
  </sheetData>
  <mergeCells count="24">
    <mergeCell ref="H9:L9"/>
    <mergeCell ref="G14:G15"/>
    <mergeCell ref="A13:E13"/>
    <mergeCell ref="A1:C1"/>
    <mergeCell ref="D1:E1"/>
    <mergeCell ref="B2:E2"/>
    <mergeCell ref="A3:E3"/>
    <mergeCell ref="A8:E8"/>
    <mergeCell ref="L16:N16"/>
    <mergeCell ref="O16:P16"/>
    <mergeCell ref="L17:N17"/>
    <mergeCell ref="O17:P17"/>
    <mergeCell ref="G9:G10"/>
    <mergeCell ref="M10:O10"/>
    <mergeCell ref="L15:N15"/>
    <mergeCell ref="P10:Q10"/>
    <mergeCell ref="M9:Q9"/>
    <mergeCell ref="L14:P14"/>
    <mergeCell ref="O15:P15"/>
    <mergeCell ref="M11:O11"/>
    <mergeCell ref="M12:O12"/>
    <mergeCell ref="P11:Q11"/>
    <mergeCell ref="P12:Q12"/>
    <mergeCell ref="H14:K14"/>
  </mergeCells>
  <hyperlinks>
    <hyperlink ref="E1" location="Графики!A24" display="Соотв. графики" xr:uid="{D9DD65C5-B7A9-47BB-938E-15CD97470244}"/>
    <hyperlink ref="D1:E1" location="Графики!A1" display="Соотв. Графики" xr:uid="{1CAB3C67-9149-433C-ADF0-E6817A5FDD65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2"/>
  <sheetViews>
    <sheetView topLeftCell="A31" zoomScale="80" zoomScaleNormal="80" workbookViewId="0">
      <selection activeCell="AB49" sqref="AB49"/>
    </sheetView>
  </sheetViews>
  <sheetFormatPr defaultRowHeight="15.05" x14ac:dyDescent="0.3"/>
  <cols>
    <col min="1" max="1" width="15.109375" customWidth="1"/>
    <col min="2" max="2" width="23.109375" bestFit="1" customWidth="1"/>
    <col min="3" max="5" width="21.5546875" bestFit="1" customWidth="1"/>
    <col min="6" max="29" width="13.6640625" customWidth="1"/>
  </cols>
  <sheetData>
    <row r="1" spans="1:29" ht="21.6" customHeight="1" x14ac:dyDescent="0.35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64" t="s">
        <v>1</v>
      </c>
      <c r="P1" s="65"/>
      <c r="Q1" s="65"/>
      <c r="R1" s="65"/>
      <c r="S1" s="65"/>
      <c r="T1" s="66"/>
      <c r="U1" s="1"/>
      <c r="V1" s="1"/>
      <c r="W1" s="1"/>
      <c r="X1" s="1"/>
      <c r="Y1" s="1"/>
      <c r="Z1" s="1"/>
      <c r="AA1" s="1"/>
      <c r="AB1" s="1"/>
      <c r="AC1" s="1"/>
    </row>
    <row r="2" spans="1:29" ht="21.6" customHeight="1" x14ac:dyDescent="0.3">
      <c r="A2" s="67" t="s">
        <v>2</v>
      </c>
      <c r="B2" s="68" t="s">
        <v>3</v>
      </c>
      <c r="C2" s="69"/>
      <c r="D2" s="69"/>
      <c r="E2" s="7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"/>
      <c r="V2" s="1"/>
      <c r="W2" s="1"/>
      <c r="X2" s="1"/>
      <c r="Y2" s="1"/>
      <c r="Z2" s="1"/>
      <c r="AA2" s="1"/>
      <c r="AB2" s="1"/>
      <c r="AC2" s="1"/>
    </row>
    <row r="3" spans="1:29" ht="21.6" customHeight="1" x14ac:dyDescent="0.3">
      <c r="A3" s="67"/>
      <c r="B3" s="3" t="s">
        <v>4</v>
      </c>
      <c r="C3" s="4" t="s">
        <v>5</v>
      </c>
      <c r="D3" s="4" t="s">
        <v>6</v>
      </c>
      <c r="E3" s="4" t="s">
        <v>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"/>
      <c r="V3" s="1"/>
      <c r="W3" s="1"/>
      <c r="X3" s="1"/>
      <c r="Y3" s="1"/>
      <c r="Z3" s="1"/>
      <c r="AA3" s="1"/>
      <c r="AB3" s="1"/>
      <c r="AC3" s="1"/>
    </row>
    <row r="4" spans="1:29" ht="21.6" customHeight="1" x14ac:dyDescent="0.3">
      <c r="A4" s="67"/>
      <c r="B4" s="4">
        <v>1</v>
      </c>
      <c r="C4" s="5">
        <v>2089</v>
      </c>
      <c r="D4" s="6">
        <v>9285</v>
      </c>
      <c r="E4" s="6">
        <v>70414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1"/>
      <c r="V4" s="1"/>
      <c r="W4" s="1"/>
      <c r="X4" s="1"/>
      <c r="Y4" s="1"/>
      <c r="Z4" s="1"/>
      <c r="AA4" s="1"/>
      <c r="AB4" s="1"/>
      <c r="AC4" s="1"/>
    </row>
    <row r="5" spans="1:29" ht="21.6" customHeight="1" x14ac:dyDescent="0.3">
      <c r="A5" s="67"/>
      <c r="B5" s="4">
        <v>2</v>
      </c>
      <c r="C5" s="5">
        <v>1229</v>
      </c>
      <c r="D5" s="6">
        <v>5031</v>
      </c>
      <c r="E5" s="6">
        <v>36735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1"/>
      <c r="V5" s="1"/>
      <c r="W5" s="1"/>
      <c r="X5" s="1"/>
      <c r="Y5" s="1"/>
      <c r="Z5" s="1"/>
      <c r="AA5" s="1"/>
      <c r="AB5" s="1"/>
      <c r="AC5" s="1"/>
    </row>
    <row r="6" spans="1:29" ht="21.6" customHeight="1" x14ac:dyDescent="0.3">
      <c r="A6" s="67"/>
      <c r="B6" s="4">
        <v>4</v>
      </c>
      <c r="C6" s="5">
        <v>855</v>
      </c>
      <c r="D6" s="6">
        <v>2572</v>
      </c>
      <c r="E6" s="6">
        <v>22929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1"/>
      <c r="V6" s="1"/>
      <c r="W6" s="1"/>
      <c r="X6" s="1"/>
      <c r="Y6" s="1"/>
      <c r="Z6" s="1"/>
      <c r="AA6" s="1"/>
      <c r="AB6" s="1"/>
      <c r="AC6" s="1"/>
    </row>
    <row r="7" spans="1:29" ht="21.6" customHeight="1" x14ac:dyDescent="0.3">
      <c r="A7" s="67"/>
      <c r="B7" s="4">
        <v>6</v>
      </c>
      <c r="C7" s="5">
        <v>650</v>
      </c>
      <c r="D7" s="6">
        <v>2302</v>
      </c>
      <c r="E7" s="6">
        <v>16547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1"/>
      <c r="V7" s="1"/>
      <c r="W7" s="1"/>
      <c r="X7" s="1"/>
      <c r="Y7" s="1"/>
      <c r="Z7" s="1"/>
      <c r="AA7" s="1"/>
      <c r="AB7" s="1"/>
      <c r="AC7" s="1"/>
    </row>
    <row r="8" spans="1:29" ht="21.6" customHeight="1" x14ac:dyDescent="0.3">
      <c r="A8" s="67"/>
      <c r="B8" s="4">
        <v>8</v>
      </c>
      <c r="C8" s="5">
        <v>627</v>
      </c>
      <c r="D8" s="6">
        <v>2087</v>
      </c>
      <c r="E8" s="6">
        <v>14979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1"/>
      <c r="V8" s="1"/>
      <c r="W8" s="1"/>
      <c r="X8" s="1"/>
      <c r="Y8" s="1"/>
      <c r="Z8" s="1"/>
      <c r="AA8" s="1"/>
      <c r="AB8" s="1"/>
      <c r="AC8" s="1"/>
    </row>
    <row r="9" spans="1:29" ht="21.6" customHeight="1" x14ac:dyDescent="0.3">
      <c r="A9" s="67"/>
      <c r="B9" s="4">
        <v>10</v>
      </c>
      <c r="C9" s="5">
        <v>617</v>
      </c>
      <c r="D9" s="6">
        <v>2010</v>
      </c>
      <c r="E9" s="6">
        <v>13841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1"/>
      <c r="V9" s="1"/>
      <c r="W9" s="1"/>
      <c r="X9" s="1"/>
      <c r="Y9" s="1"/>
      <c r="Z9" s="1"/>
      <c r="AA9" s="1"/>
      <c r="AB9" s="1"/>
      <c r="AC9" s="1"/>
    </row>
    <row r="10" spans="1:29" ht="21.6" customHeight="1" x14ac:dyDescent="0.3">
      <c r="A10" s="67"/>
      <c r="B10" s="4">
        <v>12</v>
      </c>
      <c r="C10" s="5">
        <v>598</v>
      </c>
      <c r="D10" s="6">
        <v>1971</v>
      </c>
      <c r="E10" s="6">
        <v>13112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1"/>
      <c r="V10" s="1"/>
      <c r="W10" s="1"/>
      <c r="X10" s="1"/>
      <c r="Y10" s="1"/>
      <c r="Z10" s="1"/>
      <c r="AA10" s="1"/>
      <c r="AB10" s="1"/>
      <c r="AC10" s="1"/>
    </row>
    <row r="11" spans="1:29" ht="21.6" customHeight="1" x14ac:dyDescent="0.3">
      <c r="A11" s="67"/>
      <c r="B11" s="4">
        <v>16</v>
      </c>
      <c r="C11" s="5">
        <v>461</v>
      </c>
      <c r="D11" s="6">
        <v>1700</v>
      </c>
      <c r="E11" s="6">
        <v>12964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1"/>
      <c r="V11" s="1"/>
      <c r="W11" s="1"/>
      <c r="X11" s="1"/>
      <c r="Y11" s="1"/>
      <c r="Z11" s="1"/>
      <c r="AA11" s="1"/>
      <c r="AB11" s="1"/>
      <c r="AC11" s="1"/>
    </row>
    <row r="12" spans="1:29" ht="21.6" customHeight="1" x14ac:dyDescent="0.3">
      <c r="A12" s="67"/>
      <c r="B12" s="68" t="s">
        <v>8</v>
      </c>
      <c r="C12" s="69"/>
      <c r="D12" s="69"/>
      <c r="E12" s="7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1"/>
      <c r="V12" s="1"/>
      <c r="W12" s="1"/>
      <c r="X12" s="1"/>
      <c r="Y12" s="1"/>
      <c r="Z12" s="1"/>
      <c r="AA12" s="1"/>
      <c r="AB12" s="1"/>
      <c r="AC12" s="1"/>
    </row>
    <row r="13" spans="1:29" ht="21.6" customHeight="1" x14ac:dyDescent="0.3">
      <c r="A13" s="67"/>
      <c r="B13" s="3" t="s">
        <v>4</v>
      </c>
      <c r="C13" s="4" t="s">
        <v>5</v>
      </c>
      <c r="D13" s="4" t="s">
        <v>6</v>
      </c>
      <c r="E13" s="4" t="s">
        <v>7</v>
      </c>
      <c r="F13" s="7"/>
      <c r="G13" s="8"/>
      <c r="H13" s="8"/>
      <c r="I13" s="8"/>
      <c r="J13" s="7"/>
      <c r="K13" s="7"/>
      <c r="L13" s="7"/>
      <c r="M13" s="8"/>
      <c r="N13" s="8"/>
      <c r="O13" s="7"/>
      <c r="P13" s="7"/>
      <c r="Q13" s="7"/>
      <c r="R13" s="8"/>
      <c r="S13" s="8"/>
      <c r="T13" s="8"/>
      <c r="U13" s="1"/>
      <c r="V13" s="1"/>
      <c r="W13" s="1"/>
      <c r="X13" s="1"/>
      <c r="Y13" s="1"/>
      <c r="Z13" s="1"/>
      <c r="AA13" s="1"/>
      <c r="AB13" s="1"/>
      <c r="AC13" s="1"/>
    </row>
    <row r="14" spans="1:29" ht="21.6" customHeight="1" x14ac:dyDescent="0.3">
      <c r="A14" s="67"/>
      <c r="B14" s="3">
        <v>1</v>
      </c>
      <c r="C14" s="5">
        <f>C4/C4</f>
        <v>1</v>
      </c>
      <c r="D14" s="5">
        <f>ROUND(D4/D4, 5)</f>
        <v>1</v>
      </c>
      <c r="E14" s="5">
        <f>ROUND(E4/E4, 5)</f>
        <v>1</v>
      </c>
      <c r="F14" s="7"/>
      <c r="G14" s="8"/>
      <c r="H14" s="8"/>
      <c r="I14" s="8"/>
      <c r="J14" s="7"/>
      <c r="K14" s="7"/>
      <c r="L14" s="7"/>
      <c r="M14" s="8"/>
      <c r="N14" s="8"/>
      <c r="O14" s="7"/>
      <c r="P14" s="7"/>
      <c r="Q14" s="7"/>
      <c r="R14" s="8"/>
      <c r="S14" s="8"/>
      <c r="T14" s="8"/>
      <c r="U14" s="1"/>
      <c r="V14" s="1"/>
      <c r="W14" s="1"/>
      <c r="X14" s="1"/>
      <c r="Y14" s="1"/>
      <c r="Z14" s="1"/>
      <c r="AA14" s="1"/>
      <c r="AB14" s="1"/>
      <c r="AC14" s="1"/>
    </row>
    <row r="15" spans="1:29" ht="21.6" customHeight="1" x14ac:dyDescent="0.3">
      <c r="A15" s="67"/>
      <c r="B15" s="3">
        <v>2</v>
      </c>
      <c r="C15" s="5">
        <f>ROUND(C4/C5,5)</f>
        <v>1.6997599999999999</v>
      </c>
      <c r="D15" s="5">
        <f>ROUND(D4/D5,5)</f>
        <v>1.8455600000000001</v>
      </c>
      <c r="E15" s="5">
        <f>ROUND(E4/E5,5)</f>
        <v>1.9168099999999999</v>
      </c>
      <c r="F15" s="7"/>
      <c r="G15" s="8"/>
      <c r="H15" s="8"/>
      <c r="I15" s="8"/>
      <c r="J15" s="7"/>
      <c r="K15" s="7"/>
      <c r="L15" s="7"/>
      <c r="M15" s="8"/>
      <c r="N15" s="8"/>
      <c r="O15" s="7"/>
      <c r="P15" s="7"/>
      <c r="Q15" s="7"/>
      <c r="R15" s="8"/>
      <c r="S15" s="8"/>
      <c r="T15" s="8"/>
      <c r="U15" s="1"/>
      <c r="V15" s="1"/>
      <c r="W15" s="1"/>
      <c r="X15" s="1"/>
      <c r="Y15" s="1"/>
      <c r="Z15" s="1"/>
      <c r="AA15" s="1"/>
      <c r="AB15" s="1"/>
      <c r="AC15" s="1"/>
    </row>
    <row r="16" spans="1:29" ht="21.6" customHeight="1" x14ac:dyDescent="0.3">
      <c r="A16" s="67"/>
      <c r="B16" s="3">
        <v>4</v>
      </c>
      <c r="C16" s="5">
        <f>ROUND(C4/C6,5)</f>
        <v>2.4432700000000001</v>
      </c>
      <c r="D16" s="5">
        <f>ROUND(D4/D6,5)</f>
        <v>3.6100300000000001</v>
      </c>
      <c r="E16" s="5">
        <f>ROUND(E4/E6,5)</f>
        <v>3.0709599999999999</v>
      </c>
      <c r="F16" s="7"/>
      <c r="G16" s="8"/>
      <c r="H16" s="8"/>
      <c r="I16" s="8"/>
      <c r="J16" s="7"/>
      <c r="K16" s="7"/>
      <c r="L16" s="7"/>
      <c r="M16" s="8"/>
      <c r="N16" s="8"/>
      <c r="O16" s="7"/>
      <c r="P16" s="7"/>
      <c r="Q16" s="7"/>
      <c r="R16" s="8"/>
      <c r="S16" s="8"/>
      <c r="T16" s="8"/>
      <c r="U16" s="1"/>
      <c r="V16" s="1"/>
      <c r="W16" s="1"/>
      <c r="X16" s="1"/>
      <c r="Y16" s="1"/>
      <c r="Z16" s="1"/>
      <c r="AA16" s="1"/>
      <c r="AB16" s="1"/>
      <c r="AC16" s="1"/>
    </row>
    <row r="17" spans="1:29" ht="21.6" customHeight="1" x14ac:dyDescent="0.3">
      <c r="A17" s="67"/>
      <c r="B17" s="3">
        <v>6</v>
      </c>
      <c r="C17" s="5">
        <f>ROUND(C4/C7,5)</f>
        <v>3.2138499999999999</v>
      </c>
      <c r="D17" s="5">
        <f>ROUND(D4/D7,5)</f>
        <v>4.0334500000000002</v>
      </c>
      <c r="E17" s="5">
        <f>ROUND(E4/E7,5)</f>
        <v>4.2553900000000002</v>
      </c>
      <c r="F17" s="7"/>
      <c r="G17" s="8"/>
      <c r="H17" s="8"/>
      <c r="I17" s="8"/>
      <c r="J17" s="7"/>
      <c r="K17" s="7"/>
      <c r="L17" s="7"/>
      <c r="M17" s="8"/>
      <c r="N17" s="8"/>
      <c r="O17" s="7"/>
      <c r="P17" s="7"/>
      <c r="Q17" s="7"/>
      <c r="R17" s="8"/>
      <c r="S17" s="8"/>
      <c r="T17" s="8"/>
      <c r="U17" s="1"/>
      <c r="V17" s="1"/>
      <c r="W17" s="1"/>
      <c r="X17" s="1"/>
      <c r="Y17" s="1"/>
      <c r="Z17" s="1"/>
      <c r="AA17" s="1"/>
      <c r="AB17" s="1"/>
      <c r="AC17" s="1"/>
    </row>
    <row r="18" spans="1:29" ht="21.6" customHeight="1" x14ac:dyDescent="0.3">
      <c r="A18" s="67"/>
      <c r="B18" s="3">
        <v>8</v>
      </c>
      <c r="C18" s="5">
        <f>ROUND(C4/C8,5)</f>
        <v>3.3317399999999999</v>
      </c>
      <c r="D18" s="5">
        <f>ROUND(D4/D8,5)</f>
        <v>4.4489700000000001</v>
      </c>
      <c r="E18" s="5">
        <f>ROUND(E4/E8,5)</f>
        <v>4.70085</v>
      </c>
      <c r="F18" s="7"/>
      <c r="G18" s="8"/>
      <c r="H18" s="8"/>
      <c r="I18" s="8"/>
      <c r="J18" s="7"/>
      <c r="K18" s="7"/>
      <c r="L18" s="7"/>
      <c r="M18" s="8"/>
      <c r="N18" s="8"/>
      <c r="O18" s="7"/>
      <c r="P18" s="7"/>
      <c r="Q18" s="7"/>
      <c r="R18" s="8"/>
      <c r="S18" s="8"/>
      <c r="T18" s="8"/>
      <c r="U18" s="1"/>
      <c r="V18" s="1"/>
      <c r="W18" s="1"/>
      <c r="X18" s="1"/>
      <c r="Y18" s="1"/>
      <c r="Z18" s="1"/>
      <c r="AA18" s="1"/>
      <c r="AB18" s="1"/>
      <c r="AC18" s="1"/>
    </row>
    <row r="19" spans="1:29" ht="21.6" customHeight="1" x14ac:dyDescent="0.3">
      <c r="A19" s="67"/>
      <c r="B19" s="3">
        <v>10</v>
      </c>
      <c r="C19" s="5">
        <f>ROUND(C4/C9,5)</f>
        <v>3.3857400000000002</v>
      </c>
      <c r="D19" s="5">
        <f>ROUND(D4/D9,5)</f>
        <v>4.6193999999999997</v>
      </c>
      <c r="E19" s="5">
        <f>ROUND(E4/E9,5)</f>
        <v>5.0873499999999998</v>
      </c>
      <c r="F19" s="7"/>
      <c r="G19" s="8"/>
      <c r="H19" s="8"/>
      <c r="I19" s="8"/>
      <c r="J19" s="7"/>
      <c r="K19" s="7"/>
      <c r="L19" s="7"/>
      <c r="M19" s="8"/>
      <c r="N19" s="8"/>
      <c r="O19" s="7"/>
      <c r="P19" s="7"/>
      <c r="Q19" s="7"/>
      <c r="R19" s="8"/>
      <c r="S19" s="8"/>
      <c r="T19" s="8"/>
      <c r="U19" s="1"/>
      <c r="V19" s="1"/>
      <c r="W19" s="1"/>
      <c r="X19" s="1"/>
      <c r="Y19" s="1"/>
      <c r="Z19" s="1"/>
      <c r="AA19" s="1"/>
      <c r="AB19" s="1"/>
      <c r="AC19" s="1"/>
    </row>
    <row r="20" spans="1:29" ht="21.6" customHeight="1" x14ac:dyDescent="0.3">
      <c r="A20" s="67"/>
      <c r="B20" s="3">
        <v>12</v>
      </c>
      <c r="C20" s="5">
        <f>ROUND(C4/C10,5)</f>
        <v>3.4933100000000001</v>
      </c>
      <c r="D20" s="5">
        <f>ROUND(D4/D10,5)</f>
        <v>4.7108100000000004</v>
      </c>
      <c r="E20" s="5">
        <f>ROUND(E4/E10,5)</f>
        <v>5.3701999999999996</v>
      </c>
      <c r="F20" s="7"/>
      <c r="G20" s="8"/>
      <c r="H20" s="8"/>
      <c r="I20" s="8"/>
      <c r="J20" s="7"/>
      <c r="K20" s="7"/>
      <c r="L20" s="7"/>
      <c r="M20" s="8"/>
      <c r="N20" s="8"/>
      <c r="O20" s="7"/>
      <c r="P20" s="7"/>
      <c r="Q20" s="7"/>
      <c r="R20" s="8"/>
      <c r="S20" s="8"/>
      <c r="T20" s="8"/>
      <c r="U20" s="1"/>
      <c r="V20" s="1"/>
      <c r="W20" s="1"/>
      <c r="X20" s="1"/>
      <c r="Y20" s="1"/>
      <c r="Z20" s="1"/>
      <c r="AA20" s="1"/>
      <c r="AB20" s="1"/>
      <c r="AC20" s="1"/>
    </row>
    <row r="21" spans="1:29" ht="21.6" customHeight="1" x14ac:dyDescent="0.3">
      <c r="A21" s="67"/>
      <c r="B21" s="3">
        <v>16</v>
      </c>
      <c r="C21" s="5">
        <f>ROUND(C4/C11,5)</f>
        <v>4.5314500000000004</v>
      </c>
      <c r="D21" s="5">
        <f>ROUND(D4/D11,5)</f>
        <v>5.4617599999999999</v>
      </c>
      <c r="E21" s="5">
        <f>ROUND(E4/E11,5)</f>
        <v>5.4314999999999998</v>
      </c>
      <c r="F21" s="7"/>
      <c r="G21" s="8"/>
      <c r="H21" s="8"/>
      <c r="I21" s="8"/>
      <c r="J21" s="7"/>
      <c r="K21" s="7"/>
      <c r="L21" s="7"/>
      <c r="M21" s="8"/>
      <c r="N21" s="8"/>
      <c r="O21" s="7"/>
      <c r="P21" s="7"/>
      <c r="Q21" s="7"/>
      <c r="R21" s="8"/>
      <c r="S21" s="8"/>
      <c r="T21" s="8"/>
      <c r="U21" s="1"/>
      <c r="V21" s="1"/>
      <c r="W21" s="1"/>
      <c r="X21" s="1"/>
      <c r="Y21" s="1"/>
      <c r="Z21" s="1"/>
      <c r="AA21" s="1"/>
      <c r="AB21" s="1"/>
      <c r="AC21" s="1"/>
    </row>
    <row r="22" spans="1:29" ht="21.6" customHeight="1" x14ac:dyDescent="0.3">
      <c r="A22" s="67"/>
      <c r="B22" s="68" t="s">
        <v>9</v>
      </c>
      <c r="C22" s="69"/>
      <c r="D22" s="69"/>
      <c r="E22" s="70"/>
      <c r="F22" s="7"/>
      <c r="G22" s="8"/>
      <c r="H22" s="8"/>
      <c r="I22" s="8"/>
      <c r="J22" s="7"/>
      <c r="K22" s="7"/>
      <c r="L22" s="7"/>
      <c r="M22" s="8"/>
      <c r="N22" s="8"/>
      <c r="O22" s="7"/>
      <c r="P22" s="7"/>
      <c r="Q22" s="7"/>
      <c r="R22" s="8"/>
      <c r="S22" s="8"/>
      <c r="T22" s="8"/>
      <c r="U22" s="1"/>
      <c r="V22" s="1"/>
      <c r="W22" s="1"/>
      <c r="X22" s="1"/>
      <c r="Y22" s="1"/>
      <c r="Z22" s="1"/>
      <c r="AA22" s="1"/>
      <c r="AB22" s="1"/>
      <c r="AC22" s="1"/>
    </row>
    <row r="23" spans="1:29" ht="21.6" customHeight="1" x14ac:dyDescent="0.3">
      <c r="A23" s="67"/>
      <c r="B23" s="3" t="s">
        <v>4</v>
      </c>
      <c r="C23" s="4" t="s">
        <v>5</v>
      </c>
      <c r="D23" s="4" t="s">
        <v>6</v>
      </c>
      <c r="E23" s="4" t="s">
        <v>7</v>
      </c>
      <c r="F23" s="7"/>
      <c r="G23" s="8"/>
      <c r="H23" s="8"/>
      <c r="I23" s="8"/>
      <c r="J23" s="7"/>
      <c r="K23" s="7"/>
      <c r="L23" s="7"/>
      <c r="M23" s="8"/>
      <c r="N23" s="8"/>
      <c r="O23" s="7"/>
      <c r="P23" s="7"/>
      <c r="Q23" s="7"/>
      <c r="R23" s="8"/>
      <c r="S23" s="8"/>
      <c r="T23" s="8"/>
      <c r="U23" s="1"/>
      <c r="V23" s="1"/>
      <c r="W23" s="1"/>
      <c r="X23" s="1"/>
      <c r="Y23" s="1"/>
      <c r="Z23" s="1"/>
      <c r="AA23" s="1"/>
      <c r="AB23" s="1"/>
      <c r="AC23" s="1"/>
    </row>
    <row r="24" spans="1:29" ht="21.6" customHeight="1" x14ac:dyDescent="0.3">
      <c r="A24" s="67"/>
      <c r="B24" s="3">
        <v>1</v>
      </c>
      <c r="C24" s="5">
        <f t="shared" ref="C24:C31" si="0">ROUND(C14/$B14,5)</f>
        <v>1</v>
      </c>
      <c r="D24" s="5">
        <f t="shared" ref="D24:D31" si="1">ROUND(D14/B14,5)</f>
        <v>1</v>
      </c>
      <c r="E24" s="5">
        <f t="shared" ref="E24:E31" si="2">ROUND(E14/$B14,5)</f>
        <v>1</v>
      </c>
      <c r="F24" s="7"/>
      <c r="G24" s="8"/>
      <c r="H24" s="8"/>
      <c r="I24" s="8"/>
      <c r="J24" s="7"/>
      <c r="K24" s="7"/>
      <c r="L24" s="7"/>
      <c r="M24" s="8"/>
      <c r="N24" s="8"/>
      <c r="O24" s="7"/>
      <c r="P24" s="7"/>
      <c r="Q24" s="7"/>
      <c r="R24" s="8"/>
      <c r="S24" s="8"/>
      <c r="T24" s="8"/>
      <c r="U24" s="1"/>
      <c r="V24" s="1"/>
      <c r="W24" s="1"/>
      <c r="X24" s="1"/>
      <c r="Y24" s="1"/>
      <c r="Z24" s="1"/>
      <c r="AA24" s="1"/>
      <c r="AB24" s="1"/>
      <c r="AC24" s="1"/>
    </row>
    <row r="25" spans="1:29" ht="21.6" customHeight="1" x14ac:dyDescent="0.3">
      <c r="A25" s="67"/>
      <c r="B25" s="3">
        <v>2</v>
      </c>
      <c r="C25" s="5">
        <f t="shared" si="0"/>
        <v>0.84987999999999997</v>
      </c>
      <c r="D25" s="5">
        <f t="shared" si="1"/>
        <v>0.92278000000000004</v>
      </c>
      <c r="E25" s="5">
        <f t="shared" si="2"/>
        <v>0.95840999999999998</v>
      </c>
      <c r="F25" s="7"/>
      <c r="G25" s="8"/>
      <c r="H25" s="8"/>
      <c r="I25" s="8"/>
      <c r="J25" s="7"/>
      <c r="K25" s="7"/>
      <c r="L25" s="7"/>
      <c r="M25" s="8"/>
      <c r="N25" s="8"/>
      <c r="O25" s="7"/>
      <c r="P25" s="7"/>
      <c r="Q25" s="7"/>
      <c r="R25" s="8"/>
      <c r="S25" s="8"/>
      <c r="T25" s="8"/>
      <c r="U25" s="1"/>
      <c r="V25" s="1"/>
      <c r="W25" s="1"/>
      <c r="X25" s="1"/>
      <c r="Y25" s="1"/>
      <c r="Z25" s="1"/>
      <c r="AA25" s="1"/>
      <c r="AB25" s="1"/>
      <c r="AC25" s="1"/>
    </row>
    <row r="26" spans="1:29" ht="21.6" customHeight="1" x14ac:dyDescent="0.3">
      <c r="A26" s="67"/>
      <c r="B26" s="3">
        <v>4</v>
      </c>
      <c r="C26" s="5">
        <f t="shared" si="0"/>
        <v>0.61082000000000003</v>
      </c>
      <c r="D26" s="5">
        <f t="shared" si="1"/>
        <v>0.90251000000000003</v>
      </c>
      <c r="E26" s="5">
        <f t="shared" si="2"/>
        <v>0.76773999999999998</v>
      </c>
      <c r="F26" s="7"/>
      <c r="G26" s="8"/>
      <c r="H26" s="8"/>
      <c r="I26" s="8"/>
      <c r="J26" s="7"/>
      <c r="K26" s="7"/>
      <c r="L26" s="7"/>
      <c r="M26" s="8"/>
      <c r="N26" s="8"/>
      <c r="O26" s="7"/>
      <c r="P26" s="7"/>
      <c r="Q26" s="7"/>
      <c r="R26" s="8"/>
      <c r="S26" s="8"/>
      <c r="T26" s="8"/>
      <c r="U26" s="1"/>
      <c r="V26" s="1"/>
      <c r="W26" s="1"/>
      <c r="X26" s="1"/>
      <c r="Y26" s="1"/>
      <c r="Z26" s="1"/>
      <c r="AA26" s="1"/>
      <c r="AB26" s="1"/>
      <c r="AC26" s="1"/>
    </row>
    <row r="27" spans="1:29" ht="21.6" customHeight="1" x14ac:dyDescent="0.3">
      <c r="A27" s="67"/>
      <c r="B27" s="3">
        <v>6</v>
      </c>
      <c r="C27" s="5">
        <f t="shared" si="0"/>
        <v>0.53564000000000001</v>
      </c>
      <c r="D27" s="5">
        <f t="shared" si="1"/>
        <v>0.67223999999999995</v>
      </c>
      <c r="E27" s="5">
        <f t="shared" si="2"/>
        <v>0.70923000000000003</v>
      </c>
      <c r="F27" s="7"/>
      <c r="G27" s="8"/>
      <c r="H27" s="8"/>
      <c r="I27" s="8"/>
      <c r="J27" s="7"/>
      <c r="K27" s="7"/>
      <c r="L27" s="7"/>
      <c r="M27" s="8"/>
      <c r="N27" s="8"/>
      <c r="O27" s="7"/>
      <c r="P27" s="7"/>
      <c r="Q27" s="7"/>
      <c r="R27" s="8"/>
      <c r="S27" s="8"/>
      <c r="T27" s="8"/>
      <c r="U27" s="1"/>
      <c r="V27" s="1"/>
      <c r="W27" s="1"/>
      <c r="X27" s="1"/>
      <c r="Y27" s="1"/>
      <c r="Z27" s="1"/>
      <c r="AA27" s="1"/>
      <c r="AB27" s="1"/>
      <c r="AC27" s="1"/>
    </row>
    <row r="28" spans="1:29" ht="21.6" customHeight="1" x14ac:dyDescent="0.3">
      <c r="A28" s="67"/>
      <c r="B28" s="3">
        <v>8</v>
      </c>
      <c r="C28" s="5">
        <f t="shared" si="0"/>
        <v>0.41647000000000001</v>
      </c>
      <c r="D28" s="5">
        <f t="shared" si="1"/>
        <v>0.55611999999999995</v>
      </c>
      <c r="E28" s="5">
        <f t="shared" si="2"/>
        <v>0.58760999999999997</v>
      </c>
      <c r="F28" s="7"/>
      <c r="G28" s="8"/>
      <c r="H28" s="8"/>
      <c r="I28" s="8"/>
      <c r="J28" s="7"/>
      <c r="K28" s="7"/>
      <c r="L28" s="7"/>
      <c r="M28" s="8"/>
      <c r="N28" s="8"/>
      <c r="O28" s="7"/>
      <c r="P28" s="7"/>
      <c r="Q28" s="7"/>
      <c r="R28" s="8"/>
      <c r="S28" s="8"/>
      <c r="T28" s="8"/>
      <c r="U28" s="1"/>
      <c r="V28" s="1"/>
      <c r="W28" s="1"/>
      <c r="X28" s="1"/>
      <c r="Y28" s="1"/>
      <c r="Z28" s="1"/>
      <c r="AA28" s="1"/>
      <c r="AB28" s="1"/>
      <c r="AC28" s="1"/>
    </row>
    <row r="29" spans="1:29" ht="21.6" customHeight="1" x14ac:dyDescent="0.3">
      <c r="A29" s="67"/>
      <c r="B29" s="3">
        <v>10</v>
      </c>
      <c r="C29" s="5">
        <f t="shared" si="0"/>
        <v>0.33856999999999998</v>
      </c>
      <c r="D29" s="5">
        <f t="shared" si="1"/>
        <v>0.46194000000000002</v>
      </c>
      <c r="E29" s="5">
        <f t="shared" si="2"/>
        <v>0.50873999999999997</v>
      </c>
      <c r="F29" s="7"/>
      <c r="G29" s="8"/>
      <c r="H29" s="8"/>
      <c r="I29" s="8"/>
      <c r="J29" s="7"/>
      <c r="K29" s="7"/>
      <c r="L29" s="7"/>
      <c r="M29" s="8"/>
      <c r="N29" s="8"/>
      <c r="O29" s="7"/>
      <c r="P29" s="7"/>
      <c r="Q29" s="7"/>
      <c r="R29" s="8"/>
      <c r="S29" s="8"/>
      <c r="T29" s="8"/>
      <c r="U29" s="1"/>
      <c r="V29" s="1"/>
      <c r="W29" s="1"/>
      <c r="X29" s="1"/>
      <c r="Y29" s="1"/>
      <c r="Z29" s="1"/>
      <c r="AA29" s="1"/>
      <c r="AB29" s="1"/>
      <c r="AC29" s="1"/>
    </row>
    <row r="30" spans="1:29" ht="21.6" customHeight="1" x14ac:dyDescent="0.3">
      <c r="A30" s="67"/>
      <c r="B30" s="3">
        <v>12</v>
      </c>
      <c r="C30" s="5">
        <f t="shared" si="0"/>
        <v>0.29110999999999998</v>
      </c>
      <c r="D30" s="5">
        <f t="shared" si="1"/>
        <v>0.39256999999999997</v>
      </c>
      <c r="E30" s="5">
        <f t="shared" si="2"/>
        <v>0.44751999999999997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1"/>
      <c r="V30" s="1"/>
      <c r="W30" s="1"/>
      <c r="X30" s="1"/>
      <c r="Y30" s="1"/>
      <c r="Z30" s="1"/>
      <c r="AA30" s="1"/>
      <c r="AB30" s="1"/>
      <c r="AC30" s="1"/>
    </row>
    <row r="31" spans="1:29" ht="21.6" customHeight="1" x14ac:dyDescent="0.3">
      <c r="A31" s="67"/>
      <c r="B31" s="3">
        <v>16</v>
      </c>
      <c r="C31" s="5">
        <f t="shared" si="0"/>
        <v>0.28322000000000003</v>
      </c>
      <c r="D31" s="5">
        <f t="shared" si="1"/>
        <v>0.34136</v>
      </c>
      <c r="E31" s="5">
        <f t="shared" si="2"/>
        <v>0.33946999999999999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1"/>
      <c r="V31" s="1"/>
      <c r="W31" s="1"/>
      <c r="X31" s="1"/>
      <c r="Y31" s="1"/>
      <c r="Z31" s="1"/>
      <c r="AA31" s="1"/>
      <c r="AB31" s="1"/>
      <c r="AC31" s="1"/>
    </row>
    <row r="32" spans="1:29" ht="21.6" customHeight="1" x14ac:dyDescent="0.3">
      <c r="A32" s="67"/>
      <c r="B32" s="9" t="s">
        <v>10</v>
      </c>
      <c r="C32" s="71" t="s">
        <v>11</v>
      </c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3"/>
      <c r="U32" s="1"/>
      <c r="V32" s="1"/>
      <c r="W32" s="1"/>
      <c r="X32" s="1"/>
      <c r="Y32" s="1"/>
      <c r="Z32" s="1"/>
      <c r="AA32" s="1"/>
      <c r="AB32" s="1"/>
      <c r="AC32" s="1"/>
    </row>
    <row r="33" spans="1:29" ht="21.6" customHeight="1" x14ac:dyDescent="0.3">
      <c r="A33" s="75" t="s">
        <v>12</v>
      </c>
      <c r="B33" s="77" t="s">
        <v>3</v>
      </c>
      <c r="C33" s="77"/>
      <c r="D33" s="77"/>
      <c r="E33" s="7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16"/>
      <c r="AC33" s="16"/>
    </row>
    <row r="34" spans="1:29" ht="21.6" customHeight="1" x14ac:dyDescent="0.3">
      <c r="A34" s="76"/>
      <c r="B34" s="3" t="s">
        <v>4</v>
      </c>
      <c r="C34" s="4" t="s">
        <v>6</v>
      </c>
      <c r="D34" s="4" t="s">
        <v>7</v>
      </c>
      <c r="E34" s="4" t="s">
        <v>13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16"/>
      <c r="AC34" s="16"/>
    </row>
    <row r="35" spans="1:29" ht="21.6" customHeight="1" x14ac:dyDescent="0.3">
      <c r="A35" s="76"/>
      <c r="B35" s="4">
        <v>1</v>
      </c>
      <c r="C35" s="6">
        <v>5420</v>
      </c>
      <c r="D35" s="6">
        <v>42432</v>
      </c>
      <c r="E35" s="6">
        <v>144977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16"/>
      <c r="AC35" s="16"/>
    </row>
    <row r="36" spans="1:29" ht="21.6" customHeight="1" x14ac:dyDescent="0.3">
      <c r="A36" s="76"/>
      <c r="B36" s="4">
        <v>2</v>
      </c>
      <c r="C36" s="6">
        <v>2713</v>
      </c>
      <c r="D36" s="6">
        <v>21304</v>
      </c>
      <c r="E36" s="6">
        <v>71552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16"/>
      <c r="AC36" s="16"/>
    </row>
    <row r="37" spans="1:29" ht="21.6" customHeight="1" x14ac:dyDescent="0.3">
      <c r="A37" s="76"/>
      <c r="B37" s="4">
        <v>4</v>
      </c>
      <c r="C37" s="6">
        <v>1401</v>
      </c>
      <c r="D37" s="6">
        <v>11216</v>
      </c>
      <c r="E37" s="6">
        <v>36660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16"/>
      <c r="AC37" s="16"/>
    </row>
    <row r="38" spans="1:29" ht="21.6" customHeight="1" x14ac:dyDescent="0.3">
      <c r="A38" s="76"/>
      <c r="B38" s="4">
        <v>6</v>
      </c>
      <c r="C38" s="6">
        <v>971</v>
      </c>
      <c r="D38" s="6">
        <v>7807</v>
      </c>
      <c r="E38" s="6">
        <v>25225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16"/>
      <c r="AC38" s="16"/>
    </row>
    <row r="39" spans="1:29" ht="21.6" customHeight="1" x14ac:dyDescent="0.3">
      <c r="A39" s="76"/>
      <c r="B39" s="13">
        <v>8</v>
      </c>
      <c r="C39" s="14">
        <v>803</v>
      </c>
      <c r="D39" s="46">
        <v>6310</v>
      </c>
      <c r="E39" s="46">
        <v>20733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16"/>
      <c r="AC39" s="16"/>
    </row>
    <row r="40" spans="1:29" ht="21.6" customHeight="1" x14ac:dyDescent="0.3">
      <c r="A40" s="76"/>
      <c r="B40" s="4">
        <v>10</v>
      </c>
      <c r="C40" s="5">
        <v>666</v>
      </c>
      <c r="D40" s="6">
        <v>5315</v>
      </c>
      <c r="E40" s="6">
        <v>16914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16"/>
      <c r="AC40" s="16"/>
    </row>
    <row r="41" spans="1:29" ht="21.6" customHeight="1" x14ac:dyDescent="0.3">
      <c r="A41" s="76"/>
      <c r="B41" s="4">
        <v>12</v>
      </c>
      <c r="C41" s="5">
        <v>568</v>
      </c>
      <c r="D41" s="6">
        <v>4635</v>
      </c>
      <c r="E41" s="6">
        <v>13976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16"/>
      <c r="AC41" s="16"/>
    </row>
    <row r="42" spans="1:29" ht="21.6" customHeight="1" x14ac:dyDescent="0.3">
      <c r="A42" s="76"/>
      <c r="B42" s="4">
        <v>14</v>
      </c>
      <c r="C42" s="5">
        <v>547</v>
      </c>
      <c r="D42" s="6">
        <v>4175</v>
      </c>
      <c r="E42" s="6">
        <v>13026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16"/>
      <c r="AC42" s="16"/>
    </row>
    <row r="43" spans="1:29" ht="21.6" customHeight="1" x14ac:dyDescent="0.3">
      <c r="A43" s="76"/>
      <c r="B43" s="4">
        <v>16</v>
      </c>
      <c r="C43" s="5">
        <v>515</v>
      </c>
      <c r="D43" s="6">
        <v>3919</v>
      </c>
      <c r="E43" s="6">
        <v>11592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16"/>
      <c r="AC43" s="16"/>
    </row>
    <row r="44" spans="1:29" ht="21.6" customHeight="1" x14ac:dyDescent="0.3">
      <c r="A44" s="76"/>
      <c r="B44" s="4">
        <v>18</v>
      </c>
      <c r="C44" s="5">
        <v>507</v>
      </c>
      <c r="D44" s="6">
        <v>3662</v>
      </c>
      <c r="E44" s="6">
        <v>11199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16"/>
      <c r="AC44" s="16"/>
    </row>
    <row r="45" spans="1:29" ht="21.6" customHeight="1" x14ac:dyDescent="0.3">
      <c r="A45" s="76"/>
      <c r="B45" s="4">
        <v>20</v>
      </c>
      <c r="C45" s="5">
        <v>487</v>
      </c>
      <c r="D45" s="6">
        <v>3489</v>
      </c>
      <c r="E45" s="6">
        <v>10302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16"/>
      <c r="AC45" s="16"/>
    </row>
    <row r="46" spans="1:29" ht="21.6" customHeight="1" x14ac:dyDescent="0.3">
      <c r="A46" s="76"/>
      <c r="B46" s="10">
        <v>40</v>
      </c>
      <c r="C46" s="11">
        <v>503</v>
      </c>
      <c r="D46" s="12">
        <v>3675</v>
      </c>
      <c r="E46" s="12">
        <v>10632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16"/>
      <c r="AC46" s="16"/>
    </row>
    <row r="47" spans="1:29" ht="21.6" customHeight="1" x14ac:dyDescent="0.3">
      <c r="A47" s="76"/>
      <c r="B47" s="77" t="s">
        <v>8</v>
      </c>
      <c r="C47" s="77"/>
      <c r="D47" s="77"/>
      <c r="E47" s="7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16"/>
      <c r="AC47" s="16"/>
    </row>
    <row r="48" spans="1:29" ht="21.6" customHeight="1" x14ac:dyDescent="0.3">
      <c r="A48" s="76"/>
      <c r="B48" s="3" t="s">
        <v>4</v>
      </c>
      <c r="C48" s="4" t="s">
        <v>6</v>
      </c>
      <c r="D48" s="4" t="s">
        <v>7</v>
      </c>
      <c r="E48" s="4" t="s">
        <v>13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17"/>
      <c r="AC48" s="16"/>
    </row>
    <row r="49" spans="1:29" ht="21.6" customHeight="1" x14ac:dyDescent="0.3">
      <c r="A49" s="76"/>
      <c r="B49" s="4">
        <v>1</v>
      </c>
      <c r="C49" s="5">
        <f>C35/C35</f>
        <v>1</v>
      </c>
      <c r="D49" s="5">
        <f>D35/D35</f>
        <v>1</v>
      </c>
      <c r="E49" s="5">
        <f>ROUND(E35/E35,5)</f>
        <v>1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17"/>
      <c r="AC49" s="17"/>
    </row>
    <row r="50" spans="1:29" ht="21.6" customHeight="1" x14ac:dyDescent="0.3">
      <c r="A50" s="76"/>
      <c r="B50" s="4">
        <v>2</v>
      </c>
      <c r="C50" s="5">
        <f>ROUND(C35/C36,5)</f>
        <v>1.99779</v>
      </c>
      <c r="D50" s="5">
        <f>ROUND(D35/D36,5)</f>
        <v>1.9917400000000001</v>
      </c>
      <c r="E50" s="5">
        <f>ROUND(E$35/E36,2)</f>
        <v>2.0299999999999998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17"/>
      <c r="AC50" s="17"/>
    </row>
    <row r="51" spans="1:29" ht="21.6" customHeight="1" x14ac:dyDescent="0.3">
      <c r="A51" s="76"/>
      <c r="B51" s="4">
        <v>4</v>
      </c>
      <c r="C51" s="5">
        <f>ROUND(C35/C37,5)</f>
        <v>3.8686699999999998</v>
      </c>
      <c r="D51" s="5">
        <f>ROUND(D35/D37,5)</f>
        <v>3.7831700000000001</v>
      </c>
      <c r="E51" s="5">
        <f t="shared" ref="E51:E60" si="3">ROUND(E$35/E37,2)</f>
        <v>3.95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17"/>
      <c r="AC51" s="17"/>
    </row>
    <row r="52" spans="1:29" ht="21.6" customHeight="1" x14ac:dyDescent="0.3">
      <c r="A52" s="76"/>
      <c r="B52" s="4">
        <v>6</v>
      </c>
      <c r="C52" s="5">
        <f>ROUND(C35/C38,5)</f>
        <v>5.5818700000000003</v>
      </c>
      <c r="D52" s="5">
        <f>ROUND(D35/D38,5)</f>
        <v>5.4351200000000004</v>
      </c>
      <c r="E52" s="5">
        <f t="shared" si="3"/>
        <v>5.75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17"/>
      <c r="AC52" s="17"/>
    </row>
    <row r="53" spans="1:29" ht="21.6" customHeight="1" x14ac:dyDescent="0.3">
      <c r="A53" s="76"/>
      <c r="B53" s="13">
        <v>8</v>
      </c>
      <c r="C53" s="14">
        <f>ROUND(C35/C39,5)</f>
        <v>6.7496900000000002</v>
      </c>
      <c r="D53" s="14">
        <f>ROUND(D35/D39,5)</f>
        <v>6.7245600000000003</v>
      </c>
      <c r="E53" s="5">
        <f t="shared" si="3"/>
        <v>6.99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17"/>
      <c r="AC53" s="17"/>
    </row>
    <row r="54" spans="1:29" ht="21.6" customHeight="1" x14ac:dyDescent="0.3">
      <c r="A54" s="76"/>
      <c r="B54" s="4">
        <v>10</v>
      </c>
      <c r="C54" s="5">
        <f>ROUND(C35/C40,5)</f>
        <v>8.1381399999999999</v>
      </c>
      <c r="D54" s="5">
        <f>ROUND(D35/D40,5)</f>
        <v>7.9834399999999999</v>
      </c>
      <c r="E54" s="5">
        <f t="shared" si="3"/>
        <v>8.57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17"/>
      <c r="AC54" s="17"/>
    </row>
    <row r="55" spans="1:29" ht="21.6" customHeight="1" x14ac:dyDescent="0.3">
      <c r="A55" s="76"/>
      <c r="B55" s="4">
        <v>12</v>
      </c>
      <c r="C55" s="5">
        <f>ROUND(C35/C41,5)</f>
        <v>9.5422499999999992</v>
      </c>
      <c r="D55" s="5">
        <f>ROUND(D$35/D41,5)</f>
        <v>9.1546900000000004</v>
      </c>
      <c r="E55" s="5">
        <f t="shared" si="3"/>
        <v>10.37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17"/>
      <c r="AC55" s="17"/>
    </row>
    <row r="56" spans="1:29" ht="21.6" customHeight="1" x14ac:dyDescent="0.3">
      <c r="A56" s="76"/>
      <c r="B56" s="4">
        <v>14</v>
      </c>
      <c r="C56" s="5">
        <f>ROUND(C$35/C42,5)</f>
        <v>9.9085900000000002</v>
      </c>
      <c r="D56" s="5">
        <f t="shared" ref="D56:D60" si="4">ROUND(D$35/D42,5)</f>
        <v>10.163349999999999</v>
      </c>
      <c r="E56" s="5">
        <f t="shared" si="3"/>
        <v>11.13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17"/>
      <c r="AC56" s="17"/>
    </row>
    <row r="57" spans="1:29" ht="21.6" customHeight="1" x14ac:dyDescent="0.3">
      <c r="A57" s="76"/>
      <c r="B57" s="4">
        <v>16</v>
      </c>
      <c r="C57" s="5">
        <f>ROUND(C$35/C43,5)</f>
        <v>10.52427</v>
      </c>
      <c r="D57" s="5">
        <f t="shared" si="4"/>
        <v>10.827249999999999</v>
      </c>
      <c r="E57" s="5">
        <f t="shared" si="3"/>
        <v>12.51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16"/>
      <c r="AC57" s="16"/>
    </row>
    <row r="58" spans="1:29" ht="21.6" customHeight="1" x14ac:dyDescent="0.3">
      <c r="A58" s="76"/>
      <c r="B58" s="4">
        <v>18</v>
      </c>
      <c r="C58" s="5">
        <f>ROUND(C$35/C44,5)</f>
        <v>10.690340000000001</v>
      </c>
      <c r="D58" s="5">
        <f t="shared" si="4"/>
        <v>11.587109999999999</v>
      </c>
      <c r="E58" s="5">
        <f t="shared" si="3"/>
        <v>12.95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17"/>
      <c r="AC58" s="17"/>
    </row>
    <row r="59" spans="1:29" ht="21.6" customHeight="1" x14ac:dyDescent="0.3">
      <c r="A59" s="76"/>
      <c r="B59" s="4">
        <v>20</v>
      </c>
      <c r="C59" s="5">
        <f>ROUND(C$35/C45,5)</f>
        <v>11.12936</v>
      </c>
      <c r="D59" s="5">
        <f t="shared" si="4"/>
        <v>12.16165</v>
      </c>
      <c r="E59" s="5">
        <f t="shared" si="3"/>
        <v>14.07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17"/>
      <c r="AC59" s="17"/>
    </row>
    <row r="60" spans="1:29" ht="21.6" customHeight="1" x14ac:dyDescent="0.3">
      <c r="A60" s="76"/>
      <c r="B60" s="10">
        <v>40</v>
      </c>
      <c r="C60" s="11">
        <f>ROUND(C$35/C46,5)</f>
        <v>10.77535</v>
      </c>
      <c r="D60" s="11">
        <f t="shared" si="4"/>
        <v>11.54612</v>
      </c>
      <c r="E60" s="5">
        <f t="shared" si="3"/>
        <v>13.64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17"/>
      <c r="AC60" s="17"/>
    </row>
    <row r="61" spans="1:29" ht="21.6" customHeight="1" x14ac:dyDescent="0.3">
      <c r="A61" s="76"/>
      <c r="B61" s="77" t="s">
        <v>9</v>
      </c>
      <c r="C61" s="77"/>
      <c r="D61" s="77"/>
      <c r="E61" s="7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17"/>
      <c r="AC61" s="17"/>
    </row>
    <row r="62" spans="1:29" ht="21.6" customHeight="1" x14ac:dyDescent="0.3">
      <c r="A62" s="76"/>
      <c r="B62" s="3" t="s">
        <v>4</v>
      </c>
      <c r="C62" s="4" t="s">
        <v>6</v>
      </c>
      <c r="D62" s="4" t="s">
        <v>7</v>
      </c>
      <c r="E62" s="4" t="s">
        <v>13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17"/>
      <c r="AC62" s="17"/>
    </row>
    <row r="63" spans="1:29" ht="21.6" customHeight="1" x14ac:dyDescent="0.3">
      <c r="A63" s="76"/>
      <c r="B63" s="4">
        <v>1</v>
      </c>
      <c r="C63" s="5">
        <f t="shared" ref="C63:E74" si="5">ROUND(C49/$B49,5)</f>
        <v>1</v>
      </c>
      <c r="D63" s="5">
        <f>D49/$B49</f>
        <v>1</v>
      </c>
      <c r="E63" s="5">
        <f>E49/$B49</f>
        <v>1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17"/>
      <c r="AC63" s="17"/>
    </row>
    <row r="64" spans="1:29" ht="21.6" customHeight="1" x14ac:dyDescent="0.3">
      <c r="A64" s="76"/>
      <c r="B64" s="4">
        <v>2</v>
      </c>
      <c r="C64" s="5">
        <f t="shared" si="5"/>
        <v>0.99890000000000001</v>
      </c>
      <c r="D64" s="5">
        <f t="shared" si="5"/>
        <v>0.99587000000000003</v>
      </c>
      <c r="E64" s="5">
        <f t="shared" si="5"/>
        <v>1.0149999999999999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17"/>
      <c r="AC64" s="17"/>
    </row>
    <row r="65" spans="1:30" ht="21.6" customHeight="1" x14ac:dyDescent="0.3">
      <c r="A65" s="76"/>
      <c r="B65" s="4">
        <v>4</v>
      </c>
      <c r="C65" s="5">
        <f t="shared" si="5"/>
        <v>0.96716999999999997</v>
      </c>
      <c r="D65" s="5">
        <f>ROUND(D51/$B51,5)</f>
        <v>0.94579000000000002</v>
      </c>
      <c r="E65" s="5">
        <f t="shared" si="5"/>
        <v>0.98750000000000004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17"/>
      <c r="AC65" s="17"/>
    </row>
    <row r="66" spans="1:30" ht="21.6" customHeight="1" x14ac:dyDescent="0.3">
      <c r="A66" s="76"/>
      <c r="B66" s="4">
        <v>6</v>
      </c>
      <c r="C66" s="5">
        <f t="shared" si="5"/>
        <v>0.93030999999999997</v>
      </c>
      <c r="D66" s="5">
        <f t="shared" si="5"/>
        <v>0.90585000000000004</v>
      </c>
      <c r="E66" s="5">
        <f t="shared" si="5"/>
        <v>0.95833000000000002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17"/>
      <c r="AC66" s="17"/>
    </row>
    <row r="67" spans="1:30" ht="21.6" customHeight="1" x14ac:dyDescent="0.3">
      <c r="A67" s="76"/>
      <c r="B67" s="13">
        <v>8</v>
      </c>
      <c r="C67" s="14">
        <f t="shared" si="5"/>
        <v>0.84370999999999996</v>
      </c>
      <c r="D67" s="14">
        <f t="shared" si="5"/>
        <v>0.84057000000000004</v>
      </c>
      <c r="E67" s="14">
        <f t="shared" si="5"/>
        <v>0.87375000000000003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17"/>
      <c r="AC67" s="17"/>
    </row>
    <row r="68" spans="1:30" ht="21.6" customHeight="1" x14ac:dyDescent="0.3">
      <c r="A68" s="76"/>
      <c r="B68" s="4">
        <v>10</v>
      </c>
      <c r="C68" s="5">
        <f t="shared" si="5"/>
        <v>0.81381000000000003</v>
      </c>
      <c r="D68" s="5">
        <f t="shared" si="5"/>
        <v>0.79834000000000005</v>
      </c>
      <c r="E68" s="5">
        <f t="shared" si="5"/>
        <v>0.85699999999999998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17"/>
      <c r="AC68" s="17"/>
    </row>
    <row r="69" spans="1:30" ht="21.6" customHeight="1" x14ac:dyDescent="0.3">
      <c r="A69" s="76"/>
      <c r="B69" s="4">
        <v>12</v>
      </c>
      <c r="C69" s="5">
        <f t="shared" si="5"/>
        <v>0.79518999999999995</v>
      </c>
      <c r="D69" s="5">
        <f t="shared" si="5"/>
        <v>0.76288999999999996</v>
      </c>
      <c r="E69" s="5">
        <f t="shared" si="5"/>
        <v>0.86416999999999999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16"/>
      <c r="AC69" s="16"/>
    </row>
    <row r="70" spans="1:30" ht="21.6" customHeight="1" x14ac:dyDescent="0.3">
      <c r="A70" s="76"/>
      <c r="B70" s="4">
        <v>14</v>
      </c>
      <c r="C70" s="5">
        <f t="shared" si="5"/>
        <v>0.70775999999999994</v>
      </c>
      <c r="D70" s="5">
        <f t="shared" si="5"/>
        <v>0.72594999999999998</v>
      </c>
      <c r="E70" s="5">
        <f t="shared" si="5"/>
        <v>0.79500000000000004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16"/>
      <c r="AC70" s="16"/>
    </row>
    <row r="71" spans="1:30" ht="21.6" customHeight="1" x14ac:dyDescent="0.3">
      <c r="A71" s="76"/>
      <c r="B71" s="4">
        <v>16</v>
      </c>
      <c r="C71" s="5">
        <f t="shared" si="5"/>
        <v>0.65776999999999997</v>
      </c>
      <c r="D71" s="5">
        <f t="shared" si="5"/>
        <v>0.67669999999999997</v>
      </c>
      <c r="E71" s="5">
        <f t="shared" si="5"/>
        <v>0.78188000000000002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17"/>
      <c r="AC71" s="17"/>
    </row>
    <row r="72" spans="1:30" ht="21.6" customHeight="1" x14ac:dyDescent="0.3">
      <c r="A72" s="76"/>
      <c r="B72" s="4">
        <v>18</v>
      </c>
      <c r="C72" s="5">
        <f t="shared" si="5"/>
        <v>0.59391000000000005</v>
      </c>
      <c r="D72" s="5">
        <f t="shared" si="5"/>
        <v>0.64373000000000002</v>
      </c>
      <c r="E72" s="5">
        <f t="shared" si="5"/>
        <v>0.71943999999999997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18"/>
      <c r="AC72" s="18"/>
      <c r="AD72" s="19"/>
    </row>
    <row r="73" spans="1:30" ht="21.6" customHeight="1" x14ac:dyDescent="0.3">
      <c r="A73" s="76"/>
      <c r="B73" s="4">
        <v>20</v>
      </c>
      <c r="C73" s="5">
        <f t="shared" si="5"/>
        <v>0.55647000000000002</v>
      </c>
      <c r="D73" s="5">
        <f t="shared" si="5"/>
        <v>0.60807999999999995</v>
      </c>
      <c r="E73" s="5">
        <f t="shared" si="5"/>
        <v>0.70350000000000001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18"/>
      <c r="AC73" s="18"/>
      <c r="AD73" s="19"/>
    </row>
    <row r="74" spans="1:30" ht="21.6" customHeight="1" x14ac:dyDescent="0.3">
      <c r="A74" s="76"/>
      <c r="B74" s="10">
        <v>40</v>
      </c>
      <c r="C74" s="11">
        <f t="shared" si="5"/>
        <v>0.26938000000000001</v>
      </c>
      <c r="D74" s="11">
        <f t="shared" si="5"/>
        <v>0.28865000000000002</v>
      </c>
      <c r="E74" s="11">
        <f t="shared" si="5"/>
        <v>0.34100000000000003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18"/>
      <c r="AC74" s="18"/>
      <c r="AD74" s="19"/>
    </row>
    <row r="75" spans="1:30" ht="21.6" customHeight="1" x14ac:dyDescent="0.3">
      <c r="A75" s="76"/>
      <c r="B75" s="9" t="s">
        <v>10</v>
      </c>
      <c r="C75" s="79" t="s">
        <v>14</v>
      </c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20"/>
      <c r="AC75" s="20"/>
      <c r="AD75" s="19"/>
    </row>
    <row r="76" spans="1:30" ht="21.6" customHeight="1" x14ac:dyDescent="0.3">
      <c r="A76" s="67" t="s">
        <v>15</v>
      </c>
      <c r="B76" s="77" t="s">
        <v>3</v>
      </c>
      <c r="C76" s="77"/>
      <c r="D76" s="77"/>
      <c r="E76" s="77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1"/>
      <c r="V76" s="1"/>
      <c r="W76" s="1"/>
      <c r="X76" s="1"/>
      <c r="Y76" s="1"/>
      <c r="Z76" s="1"/>
      <c r="AA76" s="1"/>
      <c r="AB76" s="21"/>
      <c r="AC76" s="21"/>
      <c r="AD76" s="19"/>
    </row>
    <row r="77" spans="1:30" ht="21.6" customHeight="1" x14ac:dyDescent="0.3">
      <c r="A77" s="67"/>
      <c r="B77" s="3" t="s">
        <v>4</v>
      </c>
      <c r="C77" s="4" t="s">
        <v>16</v>
      </c>
      <c r="D77" s="4" t="s">
        <v>5</v>
      </c>
      <c r="E77" s="4" t="s">
        <v>6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1"/>
      <c r="V77" s="1"/>
      <c r="W77" s="1"/>
      <c r="X77" s="1"/>
      <c r="Y77" s="1"/>
      <c r="Z77" s="1"/>
      <c r="AA77" s="1"/>
      <c r="AB77" s="21"/>
      <c r="AC77" s="21"/>
      <c r="AD77" s="19"/>
    </row>
    <row r="78" spans="1:30" ht="21.6" customHeight="1" x14ac:dyDescent="0.3">
      <c r="A78" s="67"/>
      <c r="B78" s="4">
        <v>1</v>
      </c>
      <c r="C78" s="5">
        <v>10562</v>
      </c>
      <c r="D78" s="6">
        <v>36099</v>
      </c>
      <c r="E78" s="6">
        <v>167489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AC78" s="21"/>
      <c r="AD78" s="19"/>
    </row>
    <row r="79" spans="1:30" ht="21.6" customHeight="1" x14ac:dyDescent="0.3">
      <c r="A79" s="67"/>
      <c r="B79" s="4">
        <v>2</v>
      </c>
      <c r="C79" s="5">
        <v>5280</v>
      </c>
      <c r="D79" s="6">
        <v>17609</v>
      </c>
      <c r="E79" s="6">
        <v>80815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AC79" s="1"/>
    </row>
    <row r="80" spans="1:30" ht="21.6" customHeight="1" x14ac:dyDescent="0.3">
      <c r="A80" s="67"/>
      <c r="B80" s="4">
        <v>4</v>
      </c>
      <c r="C80" s="5">
        <v>2613</v>
      </c>
      <c r="D80" s="6">
        <v>8670</v>
      </c>
      <c r="E80" s="6">
        <v>39609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AC80" s="1"/>
    </row>
    <row r="81" spans="1:29" ht="21.6" customHeight="1" x14ac:dyDescent="0.3">
      <c r="A81" s="67"/>
      <c r="B81" s="4">
        <v>6</v>
      </c>
      <c r="C81" s="5">
        <v>1823</v>
      </c>
      <c r="D81" s="6">
        <v>5968</v>
      </c>
      <c r="E81" s="6">
        <v>27215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AC81" s="1"/>
    </row>
    <row r="82" spans="1:29" ht="21.6" customHeight="1" x14ac:dyDescent="0.3">
      <c r="A82" s="67"/>
      <c r="B82" s="13">
        <v>8</v>
      </c>
      <c r="C82" s="14">
        <v>1405</v>
      </c>
      <c r="D82" s="46">
        <v>4618</v>
      </c>
      <c r="E82" s="46">
        <v>20859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AC82" s="1"/>
    </row>
    <row r="83" spans="1:29" ht="21.6" customHeight="1" x14ac:dyDescent="0.3">
      <c r="A83" s="67"/>
      <c r="B83" s="77" t="s">
        <v>8</v>
      </c>
      <c r="C83" s="77"/>
      <c r="D83" s="77"/>
      <c r="E83" s="7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AC83" s="1"/>
    </row>
    <row r="84" spans="1:29" ht="21.6" customHeight="1" x14ac:dyDescent="0.3">
      <c r="A84" s="67"/>
      <c r="B84" s="3" t="s">
        <v>4</v>
      </c>
      <c r="C84" s="4" t="s">
        <v>16</v>
      </c>
      <c r="D84" s="4" t="s">
        <v>5</v>
      </c>
      <c r="E84" s="4" t="s">
        <v>6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AC84" s="1"/>
    </row>
    <row r="85" spans="1:29" ht="21.6" customHeight="1" x14ac:dyDescent="0.3">
      <c r="A85" s="67"/>
      <c r="B85" s="3">
        <v>1</v>
      </c>
      <c r="C85" s="5">
        <f>ROUND(C$78/C78,2)</f>
        <v>1</v>
      </c>
      <c r="D85" s="5">
        <f>ROUND(D$78/D78,2)</f>
        <v>1</v>
      </c>
      <c r="E85" s="5">
        <f>ROUND(E$78/E78,2)</f>
        <v>1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AC85" s="1"/>
    </row>
    <row r="86" spans="1:29" ht="21.6" customHeight="1" x14ac:dyDescent="0.3">
      <c r="A86" s="67"/>
      <c r="B86" s="3">
        <v>2</v>
      </c>
      <c r="C86" s="5">
        <f t="shared" ref="C86:D89" si="6">ROUND(C$78/C79,2)</f>
        <v>2</v>
      </c>
      <c r="D86" s="5">
        <f t="shared" si="6"/>
        <v>2.0499999999999998</v>
      </c>
      <c r="E86" s="5">
        <f t="shared" ref="E86" si="7">ROUND(E$78/E79,2)</f>
        <v>2.0699999999999998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AC86" s="1"/>
    </row>
    <row r="87" spans="1:29" ht="21.6" customHeight="1" x14ac:dyDescent="0.3">
      <c r="A87" s="67"/>
      <c r="B87" s="3">
        <v>4</v>
      </c>
      <c r="C87" s="5">
        <f t="shared" si="6"/>
        <v>4.04</v>
      </c>
      <c r="D87" s="5">
        <f t="shared" si="6"/>
        <v>4.16</v>
      </c>
      <c r="E87" s="5">
        <f t="shared" ref="E87" si="8">ROUND(E$78/E80,2)</f>
        <v>4.2300000000000004</v>
      </c>
      <c r="F87" s="7"/>
      <c r="G87" s="7"/>
      <c r="H87" s="8"/>
      <c r="I87" s="8"/>
      <c r="J87" s="8"/>
      <c r="K87" s="8"/>
      <c r="L87" s="8"/>
      <c r="M87" s="8"/>
      <c r="N87" s="8"/>
      <c r="O87" s="2"/>
      <c r="P87" s="2"/>
      <c r="Q87" s="2"/>
      <c r="R87" s="2"/>
      <c r="S87" s="2"/>
      <c r="T87" s="2"/>
      <c r="AC87" s="1"/>
    </row>
    <row r="88" spans="1:29" ht="21.6" customHeight="1" x14ac:dyDescent="0.3">
      <c r="A88" s="67"/>
      <c r="B88" s="3">
        <v>6</v>
      </c>
      <c r="C88" s="5">
        <f t="shared" si="6"/>
        <v>5.79</v>
      </c>
      <c r="D88" s="5">
        <f t="shared" si="6"/>
        <v>6.05</v>
      </c>
      <c r="E88" s="5">
        <f t="shared" ref="E88" si="9">ROUND(E$78/E81,2)</f>
        <v>6.15</v>
      </c>
      <c r="F88" s="7"/>
      <c r="G88" s="7"/>
      <c r="H88" s="8"/>
      <c r="I88" s="8"/>
      <c r="J88" s="8"/>
      <c r="K88" s="8"/>
      <c r="L88" s="8"/>
      <c r="M88" s="8"/>
      <c r="N88" s="8"/>
      <c r="O88" s="2"/>
      <c r="P88" s="2"/>
      <c r="Q88" s="2"/>
      <c r="R88" s="2"/>
      <c r="S88" s="2"/>
      <c r="T88" s="2"/>
      <c r="AC88" s="1"/>
    </row>
    <row r="89" spans="1:29" ht="21.6" customHeight="1" x14ac:dyDescent="0.3">
      <c r="A89" s="67"/>
      <c r="B89" s="15">
        <v>8</v>
      </c>
      <c r="C89" s="5">
        <f t="shared" si="6"/>
        <v>7.52</v>
      </c>
      <c r="D89" s="5">
        <f t="shared" si="6"/>
        <v>7.82</v>
      </c>
      <c r="E89" s="5">
        <f t="shared" ref="E89" si="10">ROUND(E$78/E82,2)</f>
        <v>8.0299999999999994</v>
      </c>
      <c r="F89" s="7"/>
      <c r="G89" s="7"/>
      <c r="H89" s="8"/>
      <c r="I89" s="8"/>
      <c r="J89" s="8"/>
      <c r="K89" s="8"/>
      <c r="L89" s="8"/>
      <c r="M89" s="8"/>
      <c r="N89" s="8"/>
      <c r="O89" s="2"/>
      <c r="P89" s="2"/>
      <c r="Q89" s="2"/>
      <c r="R89" s="2"/>
      <c r="S89" s="2"/>
      <c r="T89" s="2"/>
      <c r="AC89" s="1"/>
    </row>
    <row r="90" spans="1:29" ht="21.6" customHeight="1" x14ac:dyDescent="0.3">
      <c r="A90" s="67"/>
      <c r="B90" s="77" t="s">
        <v>9</v>
      </c>
      <c r="C90" s="77"/>
      <c r="D90" s="77"/>
      <c r="E90" s="77"/>
      <c r="F90" s="7"/>
      <c r="G90" s="7"/>
      <c r="H90" s="8"/>
      <c r="I90" s="8"/>
      <c r="J90" s="8"/>
      <c r="K90" s="8"/>
      <c r="L90" s="8"/>
      <c r="M90" s="8"/>
      <c r="N90" s="8"/>
      <c r="O90" s="2"/>
      <c r="P90" s="2"/>
      <c r="Q90" s="2"/>
      <c r="R90" s="2"/>
      <c r="S90" s="2"/>
      <c r="T90" s="2"/>
      <c r="AC90" s="1"/>
    </row>
    <row r="91" spans="1:29" ht="21.6" customHeight="1" x14ac:dyDescent="0.3">
      <c r="A91" s="67"/>
      <c r="B91" s="3" t="s">
        <v>4</v>
      </c>
      <c r="C91" s="4" t="s">
        <v>16</v>
      </c>
      <c r="D91" s="4" t="s">
        <v>5</v>
      </c>
      <c r="E91" s="4" t="s">
        <v>6</v>
      </c>
      <c r="F91" s="7"/>
      <c r="G91" s="7"/>
      <c r="H91" s="8"/>
      <c r="I91" s="8"/>
      <c r="J91" s="8"/>
      <c r="K91" s="8"/>
      <c r="L91" s="8"/>
      <c r="M91" s="8"/>
      <c r="N91" s="8"/>
      <c r="O91" s="2"/>
      <c r="P91" s="2"/>
      <c r="Q91" s="2"/>
      <c r="R91" s="2"/>
      <c r="S91" s="2"/>
      <c r="T91" s="2"/>
      <c r="AC91" s="1"/>
    </row>
    <row r="92" spans="1:29" ht="21.6" customHeight="1" x14ac:dyDescent="0.3">
      <c r="A92" s="67"/>
      <c r="B92" s="3">
        <v>1</v>
      </c>
      <c r="C92" s="5">
        <f>ROUND(C85/$B85,2)</f>
        <v>1</v>
      </c>
      <c r="D92" s="5">
        <f t="shared" ref="D92:E92" si="11">ROUND(D85/$B85,2)</f>
        <v>1</v>
      </c>
      <c r="E92" s="5">
        <f t="shared" si="11"/>
        <v>1</v>
      </c>
      <c r="F92" s="7"/>
      <c r="G92" s="7"/>
      <c r="H92" s="8"/>
      <c r="I92" s="8"/>
      <c r="J92" s="8"/>
      <c r="K92" s="8"/>
      <c r="L92" s="8"/>
      <c r="M92" s="8"/>
      <c r="N92" s="8"/>
      <c r="O92" s="2"/>
      <c r="P92" s="2"/>
      <c r="Q92" s="2"/>
      <c r="R92" s="2"/>
      <c r="S92" s="2"/>
      <c r="T92" s="2"/>
      <c r="AC92" s="1"/>
    </row>
    <row r="93" spans="1:29" ht="21.6" customHeight="1" x14ac:dyDescent="0.3">
      <c r="A93" s="67"/>
      <c r="B93" s="3">
        <v>2</v>
      </c>
      <c r="C93" s="5">
        <f t="shared" ref="C93:E96" si="12">ROUND(C86/$B86,2)</f>
        <v>1</v>
      </c>
      <c r="D93" s="5">
        <f t="shared" si="12"/>
        <v>1.03</v>
      </c>
      <c r="E93" s="5">
        <f t="shared" si="12"/>
        <v>1.04</v>
      </c>
      <c r="F93" s="7"/>
      <c r="G93" s="7"/>
      <c r="H93" s="8"/>
      <c r="I93" s="8"/>
      <c r="J93" s="8"/>
      <c r="K93" s="8"/>
      <c r="L93" s="8"/>
      <c r="M93" s="8"/>
      <c r="N93" s="8"/>
      <c r="O93" s="2"/>
      <c r="P93" s="2"/>
      <c r="Q93" s="2"/>
      <c r="R93" s="2"/>
      <c r="S93" s="2"/>
      <c r="T93" s="2"/>
      <c r="AC93" s="1"/>
    </row>
    <row r="94" spans="1:29" ht="21.6" customHeight="1" x14ac:dyDescent="0.3">
      <c r="A94" s="67"/>
      <c r="B94" s="3">
        <v>4</v>
      </c>
      <c r="C94" s="5">
        <f t="shared" si="12"/>
        <v>1.01</v>
      </c>
      <c r="D94" s="5">
        <f t="shared" si="12"/>
        <v>1.04</v>
      </c>
      <c r="E94" s="5">
        <f t="shared" si="12"/>
        <v>1.06</v>
      </c>
      <c r="F94" s="7"/>
      <c r="G94" s="7"/>
      <c r="H94" s="8"/>
      <c r="I94" s="8"/>
      <c r="J94" s="8"/>
      <c r="K94" s="8"/>
      <c r="L94" s="8"/>
      <c r="M94" s="8"/>
      <c r="N94" s="8"/>
      <c r="O94" s="2"/>
      <c r="P94" s="2"/>
      <c r="Q94" s="2"/>
      <c r="R94" s="2"/>
      <c r="S94" s="2"/>
      <c r="T94" s="2"/>
      <c r="AC94" s="1"/>
    </row>
    <row r="95" spans="1:29" ht="21.6" customHeight="1" x14ac:dyDescent="0.3">
      <c r="A95" s="67"/>
      <c r="B95" s="3">
        <v>6</v>
      </c>
      <c r="C95" s="5">
        <f t="shared" si="12"/>
        <v>0.97</v>
      </c>
      <c r="D95" s="5">
        <f t="shared" si="12"/>
        <v>1.01</v>
      </c>
      <c r="E95" s="5">
        <f t="shared" si="12"/>
        <v>1.03</v>
      </c>
      <c r="F95" s="7"/>
      <c r="G95" s="7"/>
      <c r="H95" s="8"/>
      <c r="I95" s="8"/>
      <c r="J95" s="8"/>
      <c r="K95" s="8"/>
      <c r="L95" s="8"/>
      <c r="M95" s="8"/>
      <c r="N95" s="8"/>
      <c r="O95" s="2"/>
      <c r="P95" s="2"/>
      <c r="Q95" s="2"/>
      <c r="R95" s="2"/>
      <c r="S95" s="2"/>
      <c r="T95" s="2"/>
      <c r="AC95" s="1"/>
    </row>
    <row r="96" spans="1:29" ht="21.6" customHeight="1" x14ac:dyDescent="0.3">
      <c r="A96" s="67"/>
      <c r="B96" s="15">
        <v>8</v>
      </c>
      <c r="C96" s="5">
        <f t="shared" si="12"/>
        <v>0.94</v>
      </c>
      <c r="D96" s="5">
        <f t="shared" si="12"/>
        <v>0.98</v>
      </c>
      <c r="E96" s="5">
        <f t="shared" si="12"/>
        <v>1</v>
      </c>
      <c r="F96" s="7"/>
      <c r="G96" s="7"/>
      <c r="H96" s="8"/>
      <c r="I96" s="8"/>
      <c r="J96" s="8"/>
      <c r="K96" s="8"/>
      <c r="L96" s="8"/>
      <c r="M96" s="8"/>
      <c r="N96" s="8"/>
      <c r="O96" s="2"/>
      <c r="P96" s="2"/>
      <c r="Q96" s="2"/>
      <c r="R96" s="2"/>
      <c r="S96" s="2"/>
      <c r="T96" s="2"/>
      <c r="AC96" s="1"/>
    </row>
    <row r="97" spans="1:29" ht="21.6" customHeight="1" x14ac:dyDescent="0.3">
      <c r="A97" s="67"/>
      <c r="B97" s="78" t="s">
        <v>10</v>
      </c>
      <c r="C97" s="78"/>
      <c r="D97" s="78"/>
      <c r="E97" s="78"/>
      <c r="F97" s="7"/>
      <c r="G97" s="7"/>
      <c r="H97" s="8"/>
      <c r="I97" s="8"/>
      <c r="J97" s="8"/>
      <c r="K97" s="8"/>
      <c r="L97" s="8"/>
      <c r="M97" s="8"/>
      <c r="N97" s="8"/>
      <c r="O97" s="2"/>
      <c r="P97" s="2"/>
      <c r="Q97" s="2"/>
      <c r="R97" s="2"/>
      <c r="S97" s="2"/>
      <c r="T97" s="2"/>
      <c r="AC97" s="1"/>
    </row>
    <row r="98" spans="1:29" ht="21.6" customHeight="1" x14ac:dyDescent="0.3">
      <c r="A98" s="67"/>
      <c r="B98" s="74" t="s">
        <v>30</v>
      </c>
      <c r="C98" s="74"/>
      <c r="D98" s="74"/>
      <c r="E98" s="74"/>
      <c r="F98" s="7"/>
      <c r="G98" s="7"/>
      <c r="H98" s="8"/>
      <c r="I98" s="8"/>
      <c r="J98" s="8"/>
      <c r="K98" s="8"/>
      <c r="L98" s="8"/>
      <c r="M98" s="8"/>
      <c r="N98" s="8"/>
      <c r="O98" s="2"/>
      <c r="P98" s="2"/>
      <c r="Q98" s="2"/>
      <c r="R98" s="2"/>
      <c r="S98" s="2"/>
      <c r="T98" s="2"/>
      <c r="AC98" s="1"/>
    </row>
    <row r="99" spans="1:29" ht="21.6" customHeight="1" x14ac:dyDescent="0.3">
      <c r="A99" s="67"/>
      <c r="B99" s="74"/>
      <c r="C99" s="74"/>
      <c r="D99" s="74"/>
      <c r="E99" s="74"/>
      <c r="F99" s="7"/>
      <c r="G99" s="7"/>
      <c r="H99" s="8"/>
      <c r="I99" s="8"/>
      <c r="J99" s="8"/>
      <c r="K99" s="8"/>
      <c r="L99" s="8"/>
      <c r="M99" s="8"/>
      <c r="N99" s="8"/>
      <c r="O99" s="2"/>
      <c r="P99" s="2"/>
      <c r="Q99" s="2"/>
      <c r="R99" s="2"/>
      <c r="S99" s="2"/>
      <c r="T99" s="2"/>
      <c r="AC99" s="1"/>
    </row>
    <row r="100" spans="1:29" ht="21.6" customHeight="1" x14ac:dyDescent="0.3">
      <c r="A100" s="67"/>
      <c r="B100" s="74"/>
      <c r="C100" s="74"/>
      <c r="D100" s="74"/>
      <c r="E100" s="74"/>
      <c r="F100" s="7"/>
      <c r="G100" s="7"/>
      <c r="H100" s="8"/>
      <c r="I100" s="8"/>
      <c r="J100" s="8"/>
      <c r="K100" s="8"/>
      <c r="L100" s="8"/>
      <c r="M100" s="8"/>
      <c r="N100" s="8"/>
      <c r="O100" s="2"/>
      <c r="P100" s="2"/>
      <c r="Q100" s="2"/>
      <c r="R100" s="2"/>
      <c r="S100" s="2"/>
      <c r="T100" s="2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21.6" customHeight="1" x14ac:dyDescent="0.3">
      <c r="A101" s="67"/>
      <c r="B101" s="74"/>
      <c r="C101" s="74"/>
      <c r="D101" s="74"/>
      <c r="E101" s="74"/>
      <c r="F101" s="7"/>
      <c r="G101" s="7"/>
      <c r="H101" s="8"/>
      <c r="I101" s="8"/>
      <c r="J101" s="8"/>
      <c r="K101" s="8"/>
      <c r="L101" s="8"/>
      <c r="M101" s="8"/>
      <c r="N101" s="8"/>
      <c r="O101" s="2"/>
      <c r="P101" s="2"/>
      <c r="Q101" s="2"/>
      <c r="R101" s="2"/>
      <c r="S101" s="2"/>
      <c r="T101" s="2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21.6" customHeight="1" x14ac:dyDescent="0.3">
      <c r="A102" s="67"/>
      <c r="B102" s="74"/>
      <c r="C102" s="74"/>
      <c r="D102" s="74"/>
      <c r="E102" s="74"/>
      <c r="F102" s="7"/>
      <c r="G102" s="7"/>
      <c r="H102" s="8"/>
      <c r="I102" s="8"/>
      <c r="J102" s="8"/>
      <c r="K102" s="8"/>
      <c r="L102" s="8"/>
      <c r="M102" s="8"/>
      <c r="N102" s="8"/>
      <c r="O102" s="2"/>
      <c r="P102" s="2"/>
      <c r="Q102" s="2"/>
      <c r="R102" s="2"/>
      <c r="S102" s="2"/>
      <c r="T102" s="2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21.6" customHeight="1" x14ac:dyDescent="0.3">
      <c r="A103" s="67"/>
      <c r="B103" s="74"/>
      <c r="C103" s="74"/>
      <c r="D103" s="74"/>
      <c r="E103" s="74"/>
      <c r="F103" s="7"/>
      <c r="G103" s="7"/>
      <c r="H103" s="8"/>
      <c r="I103" s="8"/>
      <c r="J103" s="8"/>
      <c r="K103" s="8"/>
      <c r="L103" s="8"/>
      <c r="M103" s="8"/>
      <c r="N103" s="8"/>
      <c r="O103" s="2"/>
      <c r="P103" s="2"/>
      <c r="Q103" s="2"/>
      <c r="R103" s="2"/>
      <c r="S103" s="2"/>
      <c r="T103" s="2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21.6" customHeight="1" x14ac:dyDescent="0.3">
      <c r="A104" s="67"/>
      <c r="B104" s="74"/>
      <c r="C104" s="74"/>
      <c r="D104" s="74"/>
      <c r="E104" s="74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21.6" customHeight="1" x14ac:dyDescent="0.3">
      <c r="A105" s="67"/>
      <c r="B105" s="74"/>
      <c r="C105" s="74"/>
      <c r="D105" s="74"/>
      <c r="E105" s="74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1"/>
      <c r="V105" s="1"/>
      <c r="W105" s="1"/>
      <c r="X105" s="1"/>
      <c r="Y105" s="1"/>
      <c r="Z105" s="1"/>
      <c r="AA105" s="1"/>
      <c r="AB105" s="1"/>
      <c r="AC105" s="1"/>
    </row>
    <row r="120" spans="3:5" ht="17.7" x14ac:dyDescent="0.3">
      <c r="C120" s="3"/>
      <c r="D120" s="1"/>
      <c r="E120" s="1"/>
    </row>
    <row r="121" spans="3:5" ht="17.7" x14ac:dyDescent="0.3">
      <c r="C121" s="4"/>
      <c r="D121" s="6"/>
      <c r="E121" s="5"/>
    </row>
    <row r="122" spans="3:5" ht="17.7" x14ac:dyDescent="0.3">
      <c r="C122" s="4"/>
      <c r="D122" s="6"/>
      <c r="E122" s="5"/>
    </row>
    <row r="123" spans="3:5" ht="17.7" x14ac:dyDescent="0.3">
      <c r="C123" s="4"/>
      <c r="D123" s="6"/>
      <c r="E123" s="5"/>
    </row>
    <row r="124" spans="3:5" ht="17.7" x14ac:dyDescent="0.3">
      <c r="C124" s="4"/>
      <c r="D124" s="6"/>
      <c r="E124" s="5"/>
    </row>
    <row r="125" spans="3:5" ht="17.7" x14ac:dyDescent="0.3">
      <c r="C125" s="4"/>
      <c r="D125" s="6"/>
      <c r="E125" s="14"/>
    </row>
    <row r="126" spans="3:5" ht="17.7" x14ac:dyDescent="0.3">
      <c r="C126" s="4"/>
      <c r="D126" s="6"/>
      <c r="E126" s="5"/>
    </row>
    <row r="127" spans="3:5" ht="17.7" x14ac:dyDescent="0.3">
      <c r="C127" s="4"/>
      <c r="D127" s="6"/>
      <c r="E127" s="5"/>
    </row>
    <row r="128" spans="3:5" ht="17.7" x14ac:dyDescent="0.3">
      <c r="C128" s="4"/>
      <c r="D128" s="6"/>
      <c r="E128" s="5"/>
    </row>
    <row r="129" spans="3:5" ht="17.7" x14ac:dyDescent="0.3">
      <c r="C129" s="4"/>
      <c r="D129" s="6"/>
      <c r="E129" s="5"/>
    </row>
    <row r="130" spans="3:5" ht="17.7" x14ac:dyDescent="0.3">
      <c r="C130" s="4"/>
      <c r="D130" s="6"/>
      <c r="E130" s="5"/>
    </row>
    <row r="131" spans="3:5" ht="17.7" x14ac:dyDescent="0.3">
      <c r="C131" s="4"/>
      <c r="D131" s="6"/>
      <c r="E131" s="5"/>
    </row>
    <row r="132" spans="3:5" ht="17.7" x14ac:dyDescent="0.3">
      <c r="C132" s="10"/>
      <c r="D132" s="12"/>
      <c r="E132" s="11"/>
    </row>
  </sheetData>
  <mergeCells count="18">
    <mergeCell ref="B98:E105"/>
    <mergeCell ref="A33:A75"/>
    <mergeCell ref="B33:E33"/>
    <mergeCell ref="B47:E47"/>
    <mergeCell ref="B61:E61"/>
    <mergeCell ref="A76:A105"/>
    <mergeCell ref="B76:E76"/>
    <mergeCell ref="B83:E83"/>
    <mergeCell ref="B90:E90"/>
    <mergeCell ref="B97:E97"/>
    <mergeCell ref="C75:AA75"/>
    <mergeCell ref="A1:N1"/>
    <mergeCell ref="O1:T1"/>
    <mergeCell ref="A2:A32"/>
    <mergeCell ref="B2:E2"/>
    <mergeCell ref="B12:E12"/>
    <mergeCell ref="B22:E22"/>
    <mergeCell ref="C32:T32"/>
  </mergeCells>
  <hyperlinks>
    <hyperlink ref="O1" location="Таблица!A44" display="Соотв. таблица" xr:uid="{83FF44B0-CA98-46DE-9446-E04E222E13B0}"/>
    <hyperlink ref="O1:T1" location="Таблица!A1" display="&gt;---------&lt; Соотв. Таблица &gt;---------&lt;" xr:uid="{37FA7A4C-9A01-4954-9425-A9EC480166D8}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E454-2A83-42C9-B08D-66B87DC12445}">
  <dimension ref="A1:AD45"/>
  <sheetViews>
    <sheetView workbookViewId="0">
      <selection activeCell="D4" sqref="D4:D5"/>
    </sheetView>
  </sheetViews>
  <sheetFormatPr defaultColWidth="9.109375" defaultRowHeight="15.05" x14ac:dyDescent="0.3"/>
  <cols>
    <col min="1" max="2" width="8.88671875" customWidth="1"/>
    <col min="3" max="3" width="19.33203125" style="1" bestFit="1" customWidth="1"/>
    <col min="4" max="4" width="26" style="1" bestFit="1" customWidth="1"/>
    <col min="5" max="8" width="14.33203125" style="1" customWidth="1"/>
    <col min="9" max="19" width="8.88671875"/>
    <col min="20" max="26" width="11.6640625" style="1" customWidth="1"/>
    <col min="27" max="16384" width="9.109375" style="1"/>
  </cols>
  <sheetData>
    <row r="1" spans="3:30" ht="20" customHeight="1" x14ac:dyDescent="0.3"/>
    <row r="2" spans="3:30" ht="20" customHeight="1" x14ac:dyDescent="0.3"/>
    <row r="3" spans="3:30" ht="20" customHeight="1" x14ac:dyDescent="0.3">
      <c r="C3" s="51" t="s">
        <v>31</v>
      </c>
      <c r="D3" s="51"/>
      <c r="E3" s="51"/>
      <c r="F3" s="51"/>
      <c r="G3" s="51"/>
      <c r="H3" s="51"/>
      <c r="K3" s="1" t="s">
        <v>61</v>
      </c>
      <c r="L3" s="1"/>
      <c r="M3" s="1"/>
      <c r="N3" s="1"/>
      <c r="O3" s="1"/>
      <c r="P3" s="1"/>
      <c r="Q3" s="1"/>
      <c r="R3" s="1"/>
      <c r="S3" s="1"/>
      <c r="AD3"/>
    </row>
    <row r="4" spans="3:30" ht="20" customHeight="1" x14ac:dyDescent="0.3">
      <c r="C4" s="81" t="s">
        <v>32</v>
      </c>
      <c r="D4" s="81" t="s">
        <v>37</v>
      </c>
      <c r="E4" s="82" t="s">
        <v>33</v>
      </c>
      <c r="F4" s="82" t="s">
        <v>34</v>
      </c>
      <c r="G4" s="82" t="s">
        <v>35</v>
      </c>
      <c r="H4" s="82" t="s">
        <v>36</v>
      </c>
      <c r="K4" s="1" t="s">
        <v>62</v>
      </c>
      <c r="L4" s="1"/>
      <c r="M4" s="1"/>
      <c r="N4" s="1"/>
      <c r="O4" s="1"/>
      <c r="P4" s="1"/>
      <c r="Q4" s="1"/>
      <c r="R4" s="1"/>
      <c r="S4" s="1"/>
      <c r="AD4"/>
    </row>
    <row r="5" spans="3:30" ht="20" customHeight="1" x14ac:dyDescent="0.3">
      <c r="C5" s="81"/>
      <c r="D5" s="81"/>
      <c r="E5" s="82"/>
      <c r="F5" s="82"/>
      <c r="G5" s="82"/>
      <c r="H5" s="82"/>
      <c r="K5" s="1"/>
      <c r="L5" s="1"/>
      <c r="M5" s="1"/>
      <c r="N5" s="1"/>
      <c r="O5" s="1"/>
      <c r="P5" s="1"/>
      <c r="Q5" s="1"/>
      <c r="R5" s="1"/>
      <c r="S5" s="1"/>
      <c r="AD5"/>
    </row>
    <row r="6" spans="3:30" ht="20" customHeight="1" x14ac:dyDescent="0.3">
      <c r="C6" s="80">
        <v>3000</v>
      </c>
      <c r="D6" s="80">
        <v>4613</v>
      </c>
      <c r="E6" s="82" t="s">
        <v>38</v>
      </c>
      <c r="F6" s="82"/>
      <c r="G6" s="82"/>
      <c r="H6" s="82"/>
      <c r="K6" s="1" t="s">
        <v>63</v>
      </c>
      <c r="L6" s="1"/>
      <c r="M6" s="1"/>
      <c r="N6" s="1"/>
      <c r="O6" s="1"/>
      <c r="P6" s="1"/>
      <c r="Q6" s="1"/>
      <c r="R6" s="1"/>
      <c r="S6" s="1"/>
      <c r="AD6"/>
    </row>
    <row r="7" spans="3:30" ht="20" customHeight="1" x14ac:dyDescent="0.3">
      <c r="C7" s="80"/>
      <c r="D7" s="80"/>
      <c r="E7" s="31">
        <v>16.673999999999999</v>
      </c>
      <c r="F7" s="31">
        <v>405.66399999999999</v>
      </c>
      <c r="G7" s="31">
        <v>134.511</v>
      </c>
      <c r="H7" s="31">
        <v>4446.3580000000002</v>
      </c>
      <c r="K7" s="1" t="s">
        <v>64</v>
      </c>
      <c r="L7" s="1"/>
      <c r="M7" s="1"/>
      <c r="N7" s="1"/>
      <c r="O7" s="1"/>
      <c r="P7" s="1"/>
      <c r="Q7" s="1"/>
      <c r="R7" s="1"/>
      <c r="S7" s="1"/>
      <c r="AD7"/>
    </row>
    <row r="8" spans="3:30" ht="20" customHeight="1" x14ac:dyDescent="0.3">
      <c r="C8" s="80"/>
      <c r="D8" s="80"/>
      <c r="E8" s="82" t="s">
        <v>39</v>
      </c>
      <c r="F8" s="82"/>
      <c r="G8" s="82"/>
      <c r="H8" s="82"/>
      <c r="K8" s="1"/>
      <c r="L8" s="1"/>
      <c r="M8" s="1"/>
      <c r="N8" s="1"/>
      <c r="O8" s="1"/>
      <c r="P8" s="1"/>
      <c r="Q8" s="1"/>
      <c r="R8" s="1"/>
      <c r="S8" s="1"/>
      <c r="AD8"/>
    </row>
    <row r="9" spans="3:30" ht="20" customHeight="1" x14ac:dyDescent="0.3">
      <c r="C9" s="80"/>
      <c r="D9" s="80"/>
      <c r="E9" s="31">
        <f>ROUND(E7/$D6*100,2)</f>
        <v>0.36</v>
      </c>
      <c r="F9" s="31">
        <f>ROUND(F7/$D6*100,2)</f>
        <v>8.7899999999999991</v>
      </c>
      <c r="G9" s="31">
        <f>ROUND(G7/$D6*100,2)</f>
        <v>2.92</v>
      </c>
      <c r="H9" s="31">
        <f>ROUND(H7/$D6*100,2)</f>
        <v>96.39</v>
      </c>
      <c r="K9" s="1" t="s">
        <v>65</v>
      </c>
      <c r="L9" s="1"/>
      <c r="M9" s="1"/>
      <c r="N9" s="1"/>
      <c r="O9" s="1"/>
      <c r="P9" s="1"/>
      <c r="Q9" s="1"/>
      <c r="R9" s="1"/>
      <c r="S9" s="1"/>
      <c r="AD9"/>
    </row>
    <row r="10" spans="3:30" ht="20" customHeight="1" x14ac:dyDescent="0.3">
      <c r="C10" s="80">
        <v>5000</v>
      </c>
      <c r="D10" s="80">
        <v>21014</v>
      </c>
      <c r="E10" s="83" t="s">
        <v>38</v>
      </c>
      <c r="F10" s="83"/>
      <c r="G10" s="83"/>
      <c r="H10" s="83"/>
      <c r="K10" s="1"/>
      <c r="L10" s="1"/>
      <c r="M10" s="1"/>
      <c r="N10" s="1"/>
      <c r="O10" s="1"/>
      <c r="P10" s="1"/>
      <c r="Q10" s="1"/>
      <c r="R10" s="1"/>
      <c r="S10" s="1"/>
      <c r="AD10"/>
    </row>
    <row r="11" spans="3:30" ht="20" customHeight="1" x14ac:dyDescent="0.3">
      <c r="C11" s="80"/>
      <c r="D11" s="80"/>
      <c r="E11" s="31">
        <v>25.027000000000001</v>
      </c>
      <c r="F11" s="31">
        <v>1119.075</v>
      </c>
      <c r="G11" s="31">
        <v>358.17099999999999</v>
      </c>
      <c r="H11" s="31">
        <v>20573.175999999999</v>
      </c>
      <c r="K11" s="1"/>
      <c r="L11" s="1"/>
      <c r="M11" s="1"/>
      <c r="N11" s="1"/>
      <c r="O11" s="1"/>
      <c r="P11" s="1"/>
      <c r="Q11" s="1"/>
      <c r="R11" s="1"/>
      <c r="S11" s="1"/>
      <c r="AD11"/>
    </row>
    <row r="12" spans="3:30" ht="20" customHeight="1" x14ac:dyDescent="0.3">
      <c r="C12" s="80"/>
      <c r="D12" s="80"/>
      <c r="E12" s="82" t="s">
        <v>39</v>
      </c>
      <c r="F12" s="82"/>
      <c r="G12" s="82"/>
      <c r="H12" s="82"/>
      <c r="K12" s="1"/>
      <c r="L12" s="1"/>
      <c r="M12" s="1"/>
      <c r="N12" s="1"/>
      <c r="O12" s="1"/>
      <c r="P12" s="1"/>
      <c r="Q12" s="1"/>
      <c r="R12" s="1"/>
      <c r="S12" s="1"/>
      <c r="AD12"/>
    </row>
    <row r="13" spans="3:30" ht="20" customHeight="1" x14ac:dyDescent="0.3">
      <c r="C13" s="80"/>
      <c r="D13" s="80"/>
      <c r="E13" s="31">
        <f>ROUND(E11/$D10*100,2)</f>
        <v>0.12</v>
      </c>
      <c r="F13" s="31">
        <f>ROUND(F11/$D10*100,2)</f>
        <v>5.33</v>
      </c>
      <c r="G13" s="31">
        <f>ROUND(G11/$D10*100,2)</f>
        <v>1.7</v>
      </c>
      <c r="H13" s="31">
        <f>ROUND(H11/$D10*100,2)</f>
        <v>97.9</v>
      </c>
      <c r="K13" s="1" t="s">
        <v>66</v>
      </c>
      <c r="L13" s="1"/>
      <c r="M13" s="1"/>
      <c r="N13" s="1"/>
      <c r="O13" s="1"/>
      <c r="P13" s="1"/>
      <c r="Q13" s="1"/>
      <c r="R13" s="1"/>
      <c r="S13" s="1"/>
      <c r="AD13"/>
    </row>
    <row r="14" spans="3:30" ht="20" customHeight="1" x14ac:dyDescent="0.3">
      <c r="C14" s="80">
        <v>7000</v>
      </c>
      <c r="D14" s="80">
        <v>57613</v>
      </c>
      <c r="E14" s="82" t="s">
        <v>38</v>
      </c>
      <c r="F14" s="82"/>
      <c r="G14" s="82"/>
      <c r="H14" s="82"/>
      <c r="K14" s="1"/>
      <c r="L14" s="1"/>
      <c r="M14" s="1"/>
      <c r="N14" s="1"/>
      <c r="O14" s="1"/>
      <c r="P14" s="1"/>
      <c r="Q14" s="1"/>
      <c r="R14" s="1"/>
      <c r="S14" s="1"/>
      <c r="AD14"/>
    </row>
    <row r="15" spans="3:30" ht="20" customHeight="1" x14ac:dyDescent="0.3">
      <c r="C15" s="80"/>
      <c r="D15" s="80"/>
      <c r="E15" s="31">
        <v>90.486000000000004</v>
      </c>
      <c r="F15" s="31">
        <v>2039.7570000000001</v>
      </c>
      <c r="G15" s="31">
        <v>742.55700000000002</v>
      </c>
      <c r="H15" s="31">
        <v>56715.858</v>
      </c>
      <c r="K15" s="84" t="s">
        <v>67</v>
      </c>
      <c r="L15" s="84"/>
      <c r="M15" s="84"/>
      <c r="N15" s="84"/>
      <c r="O15" s="84"/>
      <c r="P15" s="84"/>
      <c r="Q15" s="84"/>
      <c r="R15" s="84"/>
      <c r="S15" s="84"/>
      <c r="AD15"/>
    </row>
    <row r="16" spans="3:30" ht="20" customHeight="1" x14ac:dyDescent="0.3">
      <c r="C16" s="80"/>
      <c r="D16" s="80"/>
      <c r="E16" s="82" t="s">
        <v>39</v>
      </c>
      <c r="F16" s="82"/>
      <c r="G16" s="82"/>
      <c r="H16" s="82"/>
      <c r="K16" s="84"/>
      <c r="L16" s="84"/>
      <c r="M16" s="84"/>
      <c r="N16" s="84"/>
      <c r="O16" s="84"/>
      <c r="P16" s="84"/>
      <c r="Q16" s="84"/>
      <c r="R16" s="84"/>
      <c r="S16" s="84"/>
      <c r="AD16"/>
    </row>
    <row r="17" spans="3:8" ht="20" customHeight="1" x14ac:dyDescent="0.3">
      <c r="C17" s="80"/>
      <c r="D17" s="80"/>
      <c r="E17" s="31">
        <f>ROUND(E15/$D14*100,2)</f>
        <v>0.16</v>
      </c>
      <c r="F17" s="31">
        <f>ROUND(F15/$D14*100,2)</f>
        <v>3.54</v>
      </c>
      <c r="G17" s="31">
        <f>ROUND(G15/$D14*100,2)</f>
        <v>1.29</v>
      </c>
      <c r="H17" s="31">
        <f>ROUND(H15/$D14*100,2)</f>
        <v>98.44</v>
      </c>
    </row>
    <row r="18" spans="3:8" ht="20" customHeight="1" x14ac:dyDescent="0.3"/>
    <row r="19" spans="3:8" ht="20" customHeight="1" x14ac:dyDescent="0.3"/>
    <row r="20" spans="3:8" ht="20" customHeight="1" x14ac:dyDescent="0.3"/>
    <row r="21" spans="3:8" ht="20" customHeight="1" x14ac:dyDescent="0.3"/>
    <row r="22" spans="3:8" ht="20" customHeight="1" x14ac:dyDescent="0.3"/>
    <row r="23" spans="3:8" ht="20" customHeight="1" x14ac:dyDescent="0.3"/>
    <row r="24" spans="3:8" ht="20" customHeight="1" x14ac:dyDescent="0.3"/>
    <row r="25" spans="3:8" ht="20" customHeight="1" x14ac:dyDescent="0.3"/>
    <row r="26" spans="3:8" ht="20" customHeight="1" x14ac:dyDescent="0.3"/>
    <row r="27" spans="3:8" ht="20" customHeight="1" x14ac:dyDescent="0.3"/>
    <row r="28" spans="3:8" ht="20" customHeight="1" x14ac:dyDescent="0.3"/>
    <row r="29" spans="3:8" ht="20" customHeight="1" x14ac:dyDescent="0.3"/>
    <row r="30" spans="3:8" ht="20" customHeight="1" x14ac:dyDescent="0.3"/>
    <row r="31" spans="3:8" ht="17.350000000000001" customHeight="1" x14ac:dyDescent="0.3"/>
    <row r="32" spans="3:8" ht="17.350000000000001" customHeight="1" x14ac:dyDescent="0.3"/>
    <row r="33" ht="17.350000000000001" customHeight="1" x14ac:dyDescent="0.3"/>
    <row r="34" ht="17.350000000000001" customHeight="1" x14ac:dyDescent="0.3"/>
    <row r="35" ht="17.350000000000001" customHeight="1" x14ac:dyDescent="0.3"/>
    <row r="36" ht="17.350000000000001" customHeight="1" x14ac:dyDescent="0.3"/>
    <row r="37" ht="17.350000000000001" customHeight="1" x14ac:dyDescent="0.3"/>
    <row r="38" ht="17.350000000000001" customHeight="1" x14ac:dyDescent="0.3"/>
    <row r="39" ht="17.350000000000001" customHeight="1" x14ac:dyDescent="0.3"/>
    <row r="40" ht="17.350000000000001" customHeight="1" x14ac:dyDescent="0.3"/>
    <row r="41" ht="17.350000000000001" customHeight="1" x14ac:dyDescent="0.3"/>
    <row r="42" ht="17.350000000000001" customHeight="1" x14ac:dyDescent="0.3"/>
    <row r="43" ht="17.350000000000001" customHeight="1" x14ac:dyDescent="0.3"/>
    <row r="44" ht="17.350000000000001" customHeight="1" x14ac:dyDescent="0.3"/>
    <row r="45" ht="17.350000000000001" customHeight="1" x14ac:dyDescent="0.3"/>
  </sheetData>
  <mergeCells count="20">
    <mergeCell ref="E14:H14"/>
    <mergeCell ref="E16:H16"/>
    <mergeCell ref="E10:H10"/>
    <mergeCell ref="E12:H12"/>
    <mergeCell ref="K15:S16"/>
    <mergeCell ref="E6:H6"/>
    <mergeCell ref="D4:D5"/>
    <mergeCell ref="C3:H3"/>
    <mergeCell ref="E8:H8"/>
    <mergeCell ref="E4:E5"/>
    <mergeCell ref="F4:F5"/>
    <mergeCell ref="G4:G5"/>
    <mergeCell ref="H4:H5"/>
    <mergeCell ref="C6:C9"/>
    <mergeCell ref="D6:D9"/>
    <mergeCell ref="C10:C13"/>
    <mergeCell ref="D10:D13"/>
    <mergeCell ref="C14:C17"/>
    <mergeCell ref="D14:D17"/>
    <mergeCell ref="C4:C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842B6-7842-488D-9BA9-218EFFDB7E51}">
  <dimension ref="A1:M56"/>
  <sheetViews>
    <sheetView topLeftCell="A31" workbookViewId="0">
      <selection activeCell="H35" sqref="H35"/>
    </sheetView>
  </sheetViews>
  <sheetFormatPr defaultColWidth="9.109375" defaultRowHeight="17.7" x14ac:dyDescent="0.3"/>
  <cols>
    <col min="1" max="1" width="69" style="1" bestFit="1" customWidth="1"/>
    <col min="2" max="5" width="21.6640625" style="1" customWidth="1"/>
    <col min="6" max="6" width="21.6640625" style="28" customWidth="1"/>
    <col min="7" max="9" width="11.6640625" style="28" customWidth="1"/>
    <col min="10" max="12" width="11.6640625" style="1" customWidth="1"/>
    <col min="13" max="16384" width="9.109375" style="1"/>
  </cols>
  <sheetData>
    <row r="1" spans="1:13" ht="17.350000000000001" customHeight="1" x14ac:dyDescent="0.3">
      <c r="A1" s="51" t="s">
        <v>53</v>
      </c>
      <c r="B1" s="51"/>
      <c r="C1" s="51"/>
      <c r="D1" s="85" t="s">
        <v>56</v>
      </c>
      <c r="E1" s="85"/>
      <c r="F1" s="85"/>
    </row>
    <row r="2" spans="1:13" ht="17.350000000000001" customHeight="1" x14ac:dyDescent="0.3">
      <c r="A2" s="51"/>
      <c r="B2" s="51"/>
      <c r="C2" s="51"/>
      <c r="D2" s="85"/>
      <c r="E2" s="85"/>
      <c r="F2" s="85"/>
      <c r="G2" s="28" t="s">
        <v>45</v>
      </c>
    </row>
    <row r="3" spans="1:13" ht="17.350000000000001" customHeight="1" x14ac:dyDescent="0.3">
      <c r="A3" s="60" t="s">
        <v>22</v>
      </c>
      <c r="B3" s="60"/>
      <c r="C3" s="60"/>
      <c r="D3" s="60"/>
      <c r="E3" s="60"/>
      <c r="F3" s="45" t="s">
        <v>46</v>
      </c>
    </row>
    <row r="4" spans="1:13" ht="17.350000000000001" customHeight="1" x14ac:dyDescent="0.3">
      <c r="A4" s="23" t="s">
        <v>23</v>
      </c>
      <c r="B4" s="41">
        <v>1000</v>
      </c>
      <c r="C4" s="41">
        <v>3000</v>
      </c>
      <c r="D4" s="41">
        <v>7000</v>
      </c>
      <c r="E4" s="41">
        <v>10000</v>
      </c>
      <c r="F4" s="86">
        <f>ROUND(SUM(B7:E7)/4,2)</f>
        <v>69.91</v>
      </c>
    </row>
    <row r="5" spans="1:13" ht="17.350000000000001" customHeight="1" x14ac:dyDescent="0.3">
      <c r="A5" s="39" t="s">
        <v>41</v>
      </c>
      <c r="B5" s="40">
        <v>44</v>
      </c>
      <c r="C5" s="40">
        <v>454</v>
      </c>
      <c r="D5" s="40">
        <v>4432</v>
      </c>
      <c r="E5" s="40">
        <v>12310</v>
      </c>
      <c r="F5" s="86"/>
      <c r="G5" s="18"/>
      <c r="H5" s="18"/>
      <c r="I5" s="18"/>
      <c r="J5" s="21"/>
      <c r="K5" s="21"/>
      <c r="L5" s="21"/>
      <c r="M5" s="21"/>
    </row>
    <row r="6" spans="1:13" ht="17.350000000000001" customHeight="1" x14ac:dyDescent="0.3">
      <c r="A6" s="23" t="s">
        <v>54</v>
      </c>
      <c r="B6" s="25">
        <v>25</v>
      </c>
      <c r="C6" s="25">
        <v>408</v>
      </c>
      <c r="D6" s="25">
        <v>3188</v>
      </c>
      <c r="E6" s="25">
        <v>7513</v>
      </c>
      <c r="F6" s="86"/>
      <c r="G6" s="18"/>
      <c r="H6" s="18"/>
      <c r="I6" s="18"/>
      <c r="J6" s="21"/>
      <c r="K6" s="21"/>
      <c r="L6" s="21"/>
      <c r="M6" s="21"/>
    </row>
    <row r="7" spans="1:13" ht="17.350000000000001" customHeight="1" x14ac:dyDescent="0.3">
      <c r="A7" s="42" t="s">
        <v>55</v>
      </c>
      <c r="B7" s="43">
        <f>ROUND(B6*100/B5,2)</f>
        <v>56.82</v>
      </c>
      <c r="C7" s="43">
        <f>ROUND(C6*100/C5,2)</f>
        <v>89.87</v>
      </c>
      <c r="D7" s="43">
        <f>ROUND(D6*100/D5,2)</f>
        <v>71.930000000000007</v>
      </c>
      <c r="E7" s="43">
        <f>ROUND(E6*100/E5,2)</f>
        <v>61.03</v>
      </c>
      <c r="F7" s="86"/>
      <c r="G7" s="18" t="s">
        <v>44</v>
      </c>
      <c r="H7" s="18"/>
      <c r="I7" s="18"/>
      <c r="J7" s="21"/>
      <c r="K7" s="21"/>
      <c r="L7" s="21"/>
      <c r="M7" s="21"/>
    </row>
    <row r="8" spans="1:13" ht="17.350000000000001" customHeight="1" x14ac:dyDescent="0.3">
      <c r="A8" s="60" t="s">
        <v>27</v>
      </c>
      <c r="B8" s="60"/>
      <c r="C8" s="60"/>
      <c r="D8" s="60"/>
      <c r="E8" s="60"/>
      <c r="F8" s="44"/>
      <c r="G8" s="18"/>
      <c r="H8" s="18"/>
      <c r="I8" s="18"/>
      <c r="J8" s="18"/>
      <c r="K8" s="18"/>
      <c r="L8" s="18"/>
      <c r="M8" s="21"/>
    </row>
    <row r="9" spans="1:13" ht="17.350000000000001" customHeight="1" x14ac:dyDescent="0.3">
      <c r="A9" s="23" t="s">
        <v>23</v>
      </c>
      <c r="B9" s="41">
        <v>3000</v>
      </c>
      <c r="C9" s="41">
        <v>5000</v>
      </c>
      <c r="D9" s="41">
        <v>7000</v>
      </c>
      <c r="E9" s="41">
        <v>10000</v>
      </c>
      <c r="F9" s="86">
        <f xml:space="preserve"> ROUND(SUM(B12:E12)/4,2)</f>
        <v>108.57</v>
      </c>
      <c r="G9" s="36"/>
      <c r="H9" s="36"/>
      <c r="I9" s="36"/>
      <c r="J9" s="36"/>
      <c r="K9" s="36"/>
      <c r="L9" s="36"/>
      <c r="M9" s="21"/>
    </row>
    <row r="10" spans="1:13" ht="17.350000000000001" customHeight="1" x14ac:dyDescent="0.3">
      <c r="A10" s="39" t="s">
        <v>41</v>
      </c>
      <c r="B10" s="40">
        <v>169</v>
      </c>
      <c r="C10" s="40">
        <v>522</v>
      </c>
      <c r="D10" s="40">
        <v>1230</v>
      </c>
      <c r="E10" s="40">
        <v>4092</v>
      </c>
      <c r="F10" s="86"/>
      <c r="G10" s="36"/>
      <c r="H10" s="34"/>
      <c r="I10" s="34"/>
      <c r="J10" s="34"/>
      <c r="K10" s="34"/>
      <c r="L10" s="34"/>
      <c r="M10" s="21"/>
    </row>
    <row r="11" spans="1:13" ht="17.350000000000001" customHeight="1" x14ac:dyDescent="0.3">
      <c r="A11" s="23" t="s">
        <v>54</v>
      </c>
      <c r="B11" s="25">
        <v>188</v>
      </c>
      <c r="C11" s="25">
        <v>563</v>
      </c>
      <c r="D11" s="25">
        <v>1383</v>
      </c>
      <c r="E11" s="25">
        <v>4204</v>
      </c>
      <c r="F11" s="86"/>
      <c r="G11" s="34"/>
      <c r="H11" s="35"/>
      <c r="I11" s="35"/>
      <c r="J11" s="35"/>
      <c r="K11" s="35"/>
      <c r="L11" s="35"/>
      <c r="M11" s="21"/>
    </row>
    <row r="12" spans="1:13" ht="17.350000000000001" customHeight="1" x14ac:dyDescent="0.3">
      <c r="A12" s="42" t="s">
        <v>55</v>
      </c>
      <c r="B12" s="43">
        <f>ROUND(B11*100/B10,2)</f>
        <v>111.24</v>
      </c>
      <c r="C12" s="43">
        <f>ROUND(C11*100/C10,2)</f>
        <v>107.85</v>
      </c>
      <c r="D12" s="43">
        <f>ROUND(D11*100/D10,2)</f>
        <v>112.44</v>
      </c>
      <c r="E12" s="43">
        <f>ROUND(E11*100/E10,2)</f>
        <v>102.74</v>
      </c>
      <c r="F12" s="86"/>
      <c r="G12" s="18" t="s">
        <v>42</v>
      </c>
      <c r="H12" s="35"/>
      <c r="I12" s="35"/>
      <c r="J12" s="35"/>
      <c r="K12" s="35"/>
      <c r="L12" s="35"/>
      <c r="M12" s="21"/>
    </row>
    <row r="13" spans="1:13" ht="17.350000000000001" customHeight="1" x14ac:dyDescent="0.3">
      <c r="A13" s="60" t="s">
        <v>59</v>
      </c>
      <c r="B13" s="60"/>
      <c r="C13" s="60"/>
      <c r="D13" s="60"/>
      <c r="E13" s="60"/>
      <c r="F13" s="44"/>
      <c r="G13" s="18"/>
      <c r="H13" s="18"/>
      <c r="I13" s="18"/>
      <c r="J13" s="21"/>
      <c r="K13" s="21"/>
      <c r="L13" s="18"/>
      <c r="M13" s="21"/>
    </row>
    <row r="14" spans="1:13" ht="17.350000000000001" customHeight="1" x14ac:dyDescent="0.3">
      <c r="A14" s="23" t="s">
        <v>23</v>
      </c>
      <c r="B14" s="41">
        <v>2000</v>
      </c>
      <c r="C14" s="41">
        <v>3000</v>
      </c>
      <c r="D14" s="41">
        <v>5000</v>
      </c>
      <c r="E14" s="41">
        <v>7000</v>
      </c>
      <c r="F14" s="86">
        <f>ROUND(SUM(B17:E17)/4,2)</f>
        <v>136.30000000000001</v>
      </c>
      <c r="G14" s="36"/>
      <c r="H14" s="37"/>
      <c r="I14" s="37"/>
      <c r="J14" s="37"/>
      <c r="K14" s="37"/>
      <c r="L14" s="18"/>
      <c r="M14" s="21"/>
    </row>
    <row r="15" spans="1:13" ht="17.350000000000001" customHeight="1" x14ac:dyDescent="0.3">
      <c r="A15" s="39" t="s">
        <v>41</v>
      </c>
      <c r="B15" s="40">
        <v>1402</v>
      </c>
      <c r="C15" s="40">
        <v>4601</v>
      </c>
      <c r="D15" s="40">
        <v>20947</v>
      </c>
      <c r="E15" s="40">
        <v>60964</v>
      </c>
      <c r="F15" s="86"/>
      <c r="G15" s="36"/>
      <c r="H15" s="34"/>
      <c r="I15" s="34"/>
      <c r="J15" s="34"/>
      <c r="K15" s="34"/>
      <c r="L15" s="18"/>
      <c r="M15" s="21"/>
    </row>
    <row r="16" spans="1:13" ht="17.350000000000001" customHeight="1" x14ac:dyDescent="0.3">
      <c r="A16" s="23" t="s">
        <v>54</v>
      </c>
      <c r="B16" s="25">
        <v>2260</v>
      </c>
      <c r="C16" s="25">
        <v>6671</v>
      </c>
      <c r="D16" s="25">
        <v>26654</v>
      </c>
      <c r="E16" s="25">
        <v>68131</v>
      </c>
      <c r="F16" s="86"/>
      <c r="G16" s="34"/>
      <c r="H16" s="35"/>
      <c r="I16" s="35"/>
      <c r="J16" s="35"/>
      <c r="K16" s="35"/>
      <c r="L16" s="18"/>
      <c r="M16" s="21"/>
    </row>
    <row r="17" spans="1:13" ht="17.350000000000001" customHeight="1" x14ac:dyDescent="0.3">
      <c r="A17" s="42" t="s">
        <v>55</v>
      </c>
      <c r="B17" s="43">
        <f>ROUND(B16*100/B15,2)</f>
        <v>161.19999999999999</v>
      </c>
      <c r="C17" s="43">
        <f>ROUND(C16*100/C15,2)</f>
        <v>144.99</v>
      </c>
      <c r="D17" s="43">
        <f>ROUND(D16*100/D15,2)</f>
        <v>127.24</v>
      </c>
      <c r="E17" s="43">
        <f>ROUND(E16*100/E15,2)</f>
        <v>111.76</v>
      </c>
      <c r="F17" s="86"/>
      <c r="G17" s="18" t="s">
        <v>43</v>
      </c>
      <c r="H17" s="35"/>
      <c r="I17" s="35"/>
      <c r="J17" s="35"/>
      <c r="K17" s="35"/>
      <c r="L17" s="18"/>
      <c r="M17" s="21"/>
    </row>
    <row r="18" spans="1:13" x14ac:dyDescent="0.3">
      <c r="A18" s="78" t="s">
        <v>10</v>
      </c>
      <c r="B18" s="74" t="s">
        <v>47</v>
      </c>
      <c r="C18" s="74"/>
      <c r="D18" s="74"/>
      <c r="E18" s="74"/>
      <c r="F18" s="74"/>
      <c r="G18" s="18"/>
      <c r="H18" s="18"/>
      <c r="I18" s="18"/>
      <c r="J18" s="21"/>
      <c r="K18" s="21"/>
      <c r="L18" s="18"/>
      <c r="M18" s="21"/>
    </row>
    <row r="19" spans="1:13" x14ac:dyDescent="0.3">
      <c r="A19" s="78"/>
      <c r="B19" s="74"/>
      <c r="C19" s="74"/>
      <c r="D19" s="74"/>
      <c r="E19" s="74"/>
      <c r="F19" s="74"/>
      <c r="I19" s="18"/>
      <c r="J19" s="18"/>
      <c r="K19" s="18"/>
      <c r="L19" s="18"/>
      <c r="M19" s="21"/>
    </row>
    <row r="20" spans="1:13" ht="20" customHeight="1" x14ac:dyDescent="0.3">
      <c r="A20" s="51" t="s">
        <v>68</v>
      </c>
      <c r="B20" s="51"/>
      <c r="C20" s="51"/>
      <c r="D20" s="51"/>
      <c r="E20" s="51"/>
      <c r="F20" s="51"/>
      <c r="G20" s="18"/>
      <c r="H20" s="18"/>
      <c r="I20" s="18"/>
      <c r="J20" s="21"/>
      <c r="K20" s="21"/>
      <c r="L20" s="18"/>
      <c r="M20" s="21"/>
    </row>
    <row r="21" spans="1:13" ht="20" customHeight="1" x14ac:dyDescent="0.3">
      <c r="A21" s="51"/>
      <c r="B21" s="51"/>
      <c r="C21" s="51"/>
      <c r="D21" s="51"/>
      <c r="E21" s="51"/>
      <c r="F21" s="51"/>
      <c r="H21" s="18"/>
      <c r="L21" s="28"/>
    </row>
    <row r="22" spans="1:13" ht="20" customHeight="1" x14ac:dyDescent="0.3">
      <c r="A22" s="60" t="s">
        <v>22</v>
      </c>
      <c r="B22" s="60"/>
      <c r="C22" s="60"/>
      <c r="D22" s="60"/>
      <c r="E22" s="60"/>
      <c r="F22" s="45" t="s">
        <v>46</v>
      </c>
      <c r="L22" s="28"/>
    </row>
    <row r="23" spans="1:13" ht="20" customHeight="1" x14ac:dyDescent="0.3">
      <c r="A23" s="23" t="s">
        <v>23</v>
      </c>
      <c r="B23" s="41">
        <v>1000</v>
      </c>
      <c r="C23" s="41">
        <v>3000</v>
      </c>
      <c r="D23" s="41">
        <v>7000</v>
      </c>
      <c r="E23" s="41">
        <v>10000</v>
      </c>
      <c r="F23" s="86">
        <f>ROUND(SUM(B26:E26)/4,2)</f>
        <v>66.05</v>
      </c>
      <c r="L23" s="28"/>
    </row>
    <row r="24" spans="1:13" ht="20" customHeight="1" x14ac:dyDescent="0.3">
      <c r="A24" s="39" t="s">
        <v>41</v>
      </c>
      <c r="B24" s="40">
        <v>44</v>
      </c>
      <c r="C24" s="40">
        <v>453</v>
      </c>
      <c r="D24" s="40">
        <v>4553</v>
      </c>
      <c r="E24" s="40">
        <v>11513</v>
      </c>
      <c r="F24" s="86"/>
      <c r="I24" s="29"/>
      <c r="J24" s="29"/>
      <c r="K24" s="29"/>
      <c r="L24" s="17"/>
    </row>
    <row r="25" spans="1:13" ht="20" customHeight="1" x14ac:dyDescent="0.3">
      <c r="A25" s="23" t="s">
        <v>54</v>
      </c>
      <c r="B25" s="25">
        <v>23</v>
      </c>
      <c r="C25" s="25">
        <v>361</v>
      </c>
      <c r="D25" s="25">
        <v>2745</v>
      </c>
      <c r="E25" s="25">
        <v>8285</v>
      </c>
      <c r="F25" s="86"/>
      <c r="G25" s="29"/>
      <c r="H25" s="29"/>
      <c r="I25" s="29"/>
      <c r="J25" s="29"/>
      <c r="K25" s="29"/>
      <c r="L25" s="17"/>
    </row>
    <row r="26" spans="1:13" ht="17.850000000000001" customHeight="1" x14ac:dyDescent="0.3">
      <c r="A26" s="42" t="s">
        <v>55</v>
      </c>
      <c r="B26" s="43">
        <f>ROUND(B25*100/B24,2)</f>
        <v>52.27</v>
      </c>
      <c r="C26" s="43">
        <f>ROUND(C25*100/C24,2)</f>
        <v>79.69</v>
      </c>
      <c r="D26" s="43">
        <f>ROUND(D25*100/D24,2)</f>
        <v>60.29</v>
      </c>
      <c r="E26" s="43">
        <f>ROUND(E25*100/E24,2)</f>
        <v>71.959999999999994</v>
      </c>
      <c r="F26" s="86"/>
      <c r="G26" s="17"/>
      <c r="H26" s="29"/>
      <c r="J26" s="28"/>
      <c r="K26" s="28"/>
      <c r="L26" s="28"/>
    </row>
    <row r="27" spans="1:13" x14ac:dyDescent="0.3">
      <c r="A27" s="60" t="s">
        <v>27</v>
      </c>
      <c r="B27" s="60"/>
      <c r="C27" s="60"/>
      <c r="D27" s="60"/>
      <c r="E27" s="60"/>
      <c r="F27" s="44"/>
    </row>
    <row r="28" spans="1:13" x14ac:dyDescent="0.3">
      <c r="A28" s="23" t="s">
        <v>23</v>
      </c>
      <c r="B28" s="41">
        <v>3000</v>
      </c>
      <c r="C28" s="41">
        <v>5000</v>
      </c>
      <c r="D28" s="41">
        <v>7000</v>
      </c>
      <c r="E28" s="41">
        <v>10000</v>
      </c>
      <c r="F28" s="86">
        <f>ROUND(SUM(B31:E31)/4,2)</f>
        <v>72.94</v>
      </c>
    </row>
    <row r="29" spans="1:13" x14ac:dyDescent="0.3">
      <c r="A29" s="39" t="s">
        <v>69</v>
      </c>
      <c r="B29" s="40">
        <v>167</v>
      </c>
      <c r="C29" s="40">
        <v>513</v>
      </c>
      <c r="D29" s="40">
        <v>1319</v>
      </c>
      <c r="E29" s="40">
        <v>3403</v>
      </c>
      <c r="F29" s="86"/>
    </row>
    <row r="30" spans="1:13" x14ac:dyDescent="0.3">
      <c r="A30" s="23" t="s">
        <v>54</v>
      </c>
      <c r="B30" s="25">
        <v>137</v>
      </c>
      <c r="C30" s="25">
        <v>421</v>
      </c>
      <c r="D30" s="25">
        <v>878</v>
      </c>
      <c r="E30" s="25">
        <v>2079</v>
      </c>
      <c r="F30" s="86"/>
    </row>
    <row r="31" spans="1:13" x14ac:dyDescent="0.3">
      <c r="A31" s="42" t="s">
        <v>55</v>
      </c>
      <c r="B31" s="43">
        <f>ROUND(B30*100/B29,2)</f>
        <v>82.04</v>
      </c>
      <c r="C31" s="43">
        <f>ROUND(C30*100/C29,2)</f>
        <v>82.07</v>
      </c>
      <c r="D31" s="43">
        <f>ROUND(D30*100/D29,2)</f>
        <v>66.569999999999993</v>
      </c>
      <c r="E31" s="43">
        <f>ROUND(E30*100/E29,2)</f>
        <v>61.09</v>
      </c>
      <c r="F31" s="86"/>
      <c r="G31" s="18"/>
    </row>
    <row r="32" spans="1:13" x14ac:dyDescent="0.3">
      <c r="A32" s="60" t="s">
        <v>59</v>
      </c>
      <c r="B32" s="60"/>
      <c r="C32" s="60"/>
      <c r="D32" s="60"/>
      <c r="E32" s="60"/>
      <c r="F32" s="44"/>
    </row>
    <row r="33" spans="1:6" x14ac:dyDescent="0.3">
      <c r="A33" s="23" t="s">
        <v>23</v>
      </c>
      <c r="B33" s="41">
        <v>2000</v>
      </c>
      <c r="C33" s="41">
        <v>3000</v>
      </c>
      <c r="D33" s="41">
        <v>5000</v>
      </c>
      <c r="E33" s="41">
        <v>7000</v>
      </c>
      <c r="F33" s="86">
        <f>ROUND(SUM(B36:E36)/4,2)</f>
        <v>138.07</v>
      </c>
    </row>
    <row r="34" spans="1:6" x14ac:dyDescent="0.3">
      <c r="A34" s="39" t="s">
        <v>69</v>
      </c>
      <c r="B34" s="40">
        <v>1402</v>
      </c>
      <c r="C34" s="40">
        <v>4607</v>
      </c>
      <c r="D34" s="40">
        <v>20892</v>
      </c>
      <c r="E34" s="40">
        <v>57466</v>
      </c>
      <c r="F34" s="86"/>
    </row>
    <row r="35" spans="1:6" x14ac:dyDescent="0.3">
      <c r="A35" s="23" t="s">
        <v>54</v>
      </c>
      <c r="B35" s="25">
        <v>2248</v>
      </c>
      <c r="C35" s="25">
        <v>6697</v>
      </c>
      <c r="D35" s="25">
        <v>26675</v>
      </c>
      <c r="E35" s="25">
        <v>68314</v>
      </c>
      <c r="F35" s="86"/>
    </row>
    <row r="36" spans="1:6" x14ac:dyDescent="0.3">
      <c r="A36" s="42" t="s">
        <v>55</v>
      </c>
      <c r="B36" s="43">
        <f>ROUND(B35*100/B34,2)</f>
        <v>160.34</v>
      </c>
      <c r="C36" s="43">
        <f>ROUND(C35*100/C34,2)</f>
        <v>145.37</v>
      </c>
      <c r="D36" s="43">
        <f>ROUND(D35*100/D34,2)</f>
        <v>127.68</v>
      </c>
      <c r="E36" s="43">
        <f>ROUND(E35*100/E34,2)</f>
        <v>118.88</v>
      </c>
      <c r="F36" s="86"/>
    </row>
    <row r="37" spans="1:6" x14ac:dyDescent="0.3">
      <c r="A37" s="78" t="s">
        <v>10</v>
      </c>
      <c r="B37" s="74" t="s">
        <v>48</v>
      </c>
      <c r="C37" s="74"/>
      <c r="D37" s="74"/>
      <c r="E37" s="74"/>
      <c r="F37" s="74"/>
    </row>
    <row r="38" spans="1:6" x14ac:dyDescent="0.3">
      <c r="A38" s="78"/>
      <c r="B38" s="74"/>
      <c r="C38" s="74"/>
      <c r="D38" s="74"/>
      <c r="E38" s="74"/>
      <c r="F38" s="74"/>
    </row>
    <row r="39" spans="1:6" ht="17.850000000000001" customHeight="1" x14ac:dyDescent="0.3">
      <c r="A39" s="87" t="s">
        <v>70</v>
      </c>
      <c r="B39" s="87"/>
      <c r="C39" s="87"/>
      <c r="D39" s="85" t="s">
        <v>57</v>
      </c>
      <c r="E39" s="85"/>
      <c r="F39" s="85"/>
    </row>
    <row r="40" spans="1:6" x14ac:dyDescent="0.3">
      <c r="A40" s="57"/>
      <c r="B40" s="57"/>
      <c r="C40" s="57"/>
      <c r="D40" s="85"/>
      <c r="E40" s="85"/>
      <c r="F40" s="85"/>
    </row>
    <row r="41" spans="1:6" x14ac:dyDescent="0.3">
      <c r="A41" s="57"/>
      <c r="B41" s="57"/>
      <c r="C41" s="57"/>
      <c r="D41" s="85"/>
      <c r="E41" s="85"/>
      <c r="F41" s="85"/>
    </row>
    <row r="42" spans="1:6" x14ac:dyDescent="0.3">
      <c r="A42" s="60" t="s">
        <v>22</v>
      </c>
      <c r="B42" s="60"/>
      <c r="C42" s="60"/>
      <c r="D42" s="60"/>
      <c r="E42" s="60"/>
      <c r="F42" s="45" t="s">
        <v>46</v>
      </c>
    </row>
    <row r="43" spans="1:6" ht="17.850000000000001" customHeight="1" x14ac:dyDescent="0.3">
      <c r="A43" s="23" t="s">
        <v>23</v>
      </c>
      <c r="B43" s="41">
        <v>1000</v>
      </c>
      <c r="C43" s="41">
        <v>3000</v>
      </c>
      <c r="D43" s="41">
        <v>7000</v>
      </c>
      <c r="E43" s="41">
        <v>10000</v>
      </c>
      <c r="F43" s="86">
        <f>ROUND(SUM(B46:E46)/4,2)</f>
        <v>35.549999999999997</v>
      </c>
    </row>
    <row r="44" spans="1:6" ht="17.850000000000001" customHeight="1" x14ac:dyDescent="0.3">
      <c r="A44" s="39" t="s">
        <v>41</v>
      </c>
      <c r="B44" s="40">
        <v>42</v>
      </c>
      <c r="C44" s="40">
        <v>454</v>
      </c>
      <c r="D44" s="40">
        <v>4514</v>
      </c>
      <c r="E44" s="40">
        <v>11814</v>
      </c>
      <c r="F44" s="86"/>
    </row>
    <row r="45" spans="1:6" ht="17.850000000000001" customHeight="1" x14ac:dyDescent="0.3">
      <c r="A45" s="23" t="s">
        <v>54</v>
      </c>
      <c r="B45" s="25">
        <v>8</v>
      </c>
      <c r="C45" s="25">
        <v>164</v>
      </c>
      <c r="D45" s="25">
        <v>1905</v>
      </c>
      <c r="E45" s="25">
        <v>5295</v>
      </c>
      <c r="F45" s="86"/>
    </row>
    <row r="46" spans="1:6" ht="17.850000000000001" customHeight="1" x14ac:dyDescent="0.3">
      <c r="A46" s="42" t="s">
        <v>55</v>
      </c>
      <c r="B46" s="43">
        <f>ROUND(B45*100/B44,2)</f>
        <v>19.05</v>
      </c>
      <c r="C46" s="43">
        <f>ROUND(C45*100/C44,2)</f>
        <v>36.119999999999997</v>
      </c>
      <c r="D46" s="43">
        <f>ROUND(D45*100/D44,2)</f>
        <v>42.2</v>
      </c>
      <c r="E46" s="43">
        <f>ROUND(E45*100/E44,2)</f>
        <v>44.82</v>
      </c>
      <c r="F46" s="86"/>
    </row>
    <row r="47" spans="1:6" x14ac:dyDescent="0.3">
      <c r="A47" s="60" t="s">
        <v>27</v>
      </c>
      <c r="B47" s="60"/>
      <c r="C47" s="60"/>
      <c r="D47" s="60"/>
      <c r="E47" s="60"/>
      <c r="F47" s="44"/>
    </row>
    <row r="48" spans="1:6" x14ac:dyDescent="0.3">
      <c r="A48" s="23" t="s">
        <v>23</v>
      </c>
      <c r="B48" s="41">
        <v>3000</v>
      </c>
      <c r="C48" s="41">
        <v>5000</v>
      </c>
      <c r="D48" s="41">
        <v>7000</v>
      </c>
      <c r="E48" s="41">
        <v>10000</v>
      </c>
      <c r="F48" s="86">
        <f>ROUND(SUM(B51:E51)/4,2)</f>
        <v>39.020000000000003</v>
      </c>
    </row>
    <row r="49" spans="1:6" x14ac:dyDescent="0.3">
      <c r="A49" s="39" t="s">
        <v>69</v>
      </c>
      <c r="B49" s="40">
        <v>196</v>
      </c>
      <c r="C49" s="40">
        <v>548</v>
      </c>
      <c r="D49" s="40">
        <v>1436</v>
      </c>
      <c r="E49" s="40">
        <v>3802</v>
      </c>
      <c r="F49" s="86"/>
    </row>
    <row r="50" spans="1:6" x14ac:dyDescent="0.3">
      <c r="A50" s="23" t="s">
        <v>54</v>
      </c>
      <c r="B50" s="25">
        <v>80</v>
      </c>
      <c r="C50" s="25">
        <v>227</v>
      </c>
      <c r="D50" s="25">
        <v>557</v>
      </c>
      <c r="E50" s="25">
        <v>1333</v>
      </c>
      <c r="F50" s="86"/>
    </row>
    <row r="51" spans="1:6" x14ac:dyDescent="0.3">
      <c r="A51" s="42" t="s">
        <v>55</v>
      </c>
      <c r="B51" s="43">
        <f>ROUND(B50*100/B49,2)</f>
        <v>40.82</v>
      </c>
      <c r="C51" s="43">
        <f>ROUND(C50*100/C49,2)</f>
        <v>41.42</v>
      </c>
      <c r="D51" s="43">
        <f>ROUND(D50*100/D49,2)</f>
        <v>38.79</v>
      </c>
      <c r="E51" s="43">
        <f>ROUND(E50*100/E49,2)</f>
        <v>35.06</v>
      </c>
      <c r="F51" s="86"/>
    </row>
    <row r="52" spans="1:6" x14ac:dyDescent="0.3">
      <c r="A52" s="60" t="s">
        <v>59</v>
      </c>
      <c r="B52" s="60"/>
      <c r="C52" s="60"/>
      <c r="D52" s="60"/>
      <c r="E52" s="60"/>
      <c r="F52" s="44"/>
    </row>
    <row r="53" spans="1:6" x14ac:dyDescent="0.3">
      <c r="A53" s="88" t="s">
        <v>58</v>
      </c>
      <c r="B53" s="89"/>
      <c r="C53" s="89"/>
      <c r="D53" s="89"/>
      <c r="E53" s="89"/>
      <c r="F53" s="90"/>
    </row>
    <row r="54" spans="1:6" x14ac:dyDescent="0.3">
      <c r="A54" s="91"/>
      <c r="B54" s="92"/>
      <c r="C54" s="92"/>
      <c r="D54" s="92"/>
      <c r="E54" s="92"/>
      <c r="F54" s="93"/>
    </row>
    <row r="55" spans="1:6" x14ac:dyDescent="0.3">
      <c r="A55" s="78" t="s">
        <v>10</v>
      </c>
      <c r="B55" s="74" t="s">
        <v>60</v>
      </c>
      <c r="C55" s="74"/>
      <c r="D55" s="74"/>
      <c r="E55" s="74"/>
      <c r="F55" s="74"/>
    </row>
    <row r="56" spans="1:6" x14ac:dyDescent="0.3">
      <c r="A56" s="78"/>
      <c r="B56" s="74"/>
      <c r="C56" s="74"/>
      <c r="D56" s="74"/>
      <c r="E56" s="74"/>
      <c r="F56" s="74"/>
    </row>
  </sheetData>
  <mergeCells count="29">
    <mergeCell ref="F48:F51"/>
    <mergeCell ref="A52:E52"/>
    <mergeCell ref="A55:A56"/>
    <mergeCell ref="B55:F56"/>
    <mergeCell ref="A53:F54"/>
    <mergeCell ref="A47:E47"/>
    <mergeCell ref="D39:F41"/>
    <mergeCell ref="A39:C41"/>
    <mergeCell ref="A3:E3"/>
    <mergeCell ref="A8:E8"/>
    <mergeCell ref="A13:E13"/>
    <mergeCell ref="A42:E42"/>
    <mergeCell ref="F43:F46"/>
    <mergeCell ref="A1:C2"/>
    <mergeCell ref="D1:F2"/>
    <mergeCell ref="F4:F7"/>
    <mergeCell ref="F9:F12"/>
    <mergeCell ref="A37:A38"/>
    <mergeCell ref="B18:F19"/>
    <mergeCell ref="B37:F38"/>
    <mergeCell ref="A22:E22"/>
    <mergeCell ref="A27:E27"/>
    <mergeCell ref="A32:E32"/>
    <mergeCell ref="A20:F21"/>
    <mergeCell ref="F14:F17"/>
    <mergeCell ref="F23:F26"/>
    <mergeCell ref="F28:F31"/>
    <mergeCell ref="F33:F36"/>
    <mergeCell ref="A18:A1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C2DD-E92E-448E-A6C4-C16BE6E2144A}">
  <dimension ref="B1:Z402"/>
  <sheetViews>
    <sheetView tabSelected="1" zoomScaleNormal="100" workbookViewId="0">
      <selection activeCell="K5" sqref="K5"/>
    </sheetView>
  </sheetViews>
  <sheetFormatPr defaultColWidth="9.109375" defaultRowHeight="14.4" x14ac:dyDescent="0.25"/>
  <cols>
    <col min="1" max="1" width="9.109375" style="21" customWidth="1"/>
    <col min="2" max="2" width="20.77734375" style="21" customWidth="1"/>
    <col min="3" max="3" width="10.77734375" style="21" customWidth="1"/>
    <col min="4" max="6" width="9.109375" style="21" customWidth="1"/>
    <col min="7" max="11" width="9.109375" style="21"/>
    <col min="12" max="12" width="9.109375" style="21" customWidth="1"/>
    <col min="13" max="18" width="9.109375" style="21"/>
    <col min="19" max="24" width="9.109375" style="21" customWidth="1"/>
    <col min="25" max="16384" width="9.109375" style="21"/>
  </cols>
  <sheetData>
    <row r="1" spans="2:12" ht="20" customHeight="1" x14ac:dyDescent="0.25"/>
    <row r="2" spans="2:12" ht="20" customHeight="1" x14ac:dyDescent="0.3">
      <c r="B2" s="51" t="s">
        <v>73</v>
      </c>
      <c r="C2" s="51"/>
      <c r="D2" s="104"/>
      <c r="E2" s="105"/>
      <c r="F2" s="104"/>
      <c r="G2" s="36"/>
      <c r="H2" s="1"/>
    </row>
    <row r="3" spans="2:12" ht="20" customHeight="1" x14ac:dyDescent="0.25">
      <c r="B3" s="106" t="s">
        <v>71</v>
      </c>
      <c r="C3" s="106" t="s">
        <v>72</v>
      </c>
      <c r="G3" s="1"/>
      <c r="H3" s="1"/>
      <c r="I3" s="1"/>
    </row>
    <row r="4" spans="2:12" ht="20" customHeight="1" x14ac:dyDescent="0.25">
      <c r="B4" s="106"/>
      <c r="C4" s="106"/>
      <c r="D4" s="1"/>
      <c r="E4" s="1"/>
      <c r="F4" s="1"/>
      <c r="G4" s="1"/>
      <c r="H4" s="1"/>
      <c r="I4" s="1"/>
    </row>
    <row r="5" spans="2:12" ht="20" customHeight="1" x14ac:dyDescent="0.3">
      <c r="B5" s="107">
        <v>150</v>
      </c>
      <c r="C5" s="107">
        <v>1316</v>
      </c>
      <c r="D5" s="1"/>
      <c r="E5" s="1"/>
      <c r="F5" s="1"/>
      <c r="G5" s="1"/>
      <c r="H5" s="1"/>
      <c r="I5" s="1"/>
      <c r="L5" s="96"/>
    </row>
    <row r="6" spans="2:12" ht="20" customHeight="1" x14ac:dyDescent="0.3">
      <c r="B6" s="107">
        <v>200</v>
      </c>
      <c r="C6" s="107">
        <v>3128</v>
      </c>
      <c r="D6" s="1"/>
      <c r="E6" s="1"/>
      <c r="F6" s="1"/>
      <c r="G6" s="1"/>
      <c r="H6" s="1"/>
      <c r="I6" s="1"/>
      <c r="L6" s="96"/>
    </row>
    <row r="7" spans="2:12" ht="20" customHeight="1" x14ac:dyDescent="0.3">
      <c r="B7" s="107">
        <v>250</v>
      </c>
      <c r="C7" s="107">
        <v>6089</v>
      </c>
      <c r="D7" s="1"/>
      <c r="E7" s="1"/>
      <c r="F7" s="1"/>
      <c r="G7" s="1"/>
      <c r="H7" s="1"/>
      <c r="I7" s="1"/>
      <c r="L7" s="96"/>
    </row>
    <row r="8" spans="2:12" ht="20" customHeight="1" x14ac:dyDescent="0.3">
      <c r="B8" s="107">
        <v>300</v>
      </c>
      <c r="C8" s="107">
        <v>10559</v>
      </c>
      <c r="D8" s="1"/>
      <c r="E8" s="1"/>
      <c r="F8" s="1"/>
      <c r="G8" s="1"/>
      <c r="H8" s="1"/>
      <c r="I8" s="1"/>
      <c r="L8" s="96"/>
    </row>
    <row r="9" spans="2:12" ht="20" customHeight="1" x14ac:dyDescent="0.3">
      <c r="B9" s="107">
        <v>350</v>
      </c>
      <c r="C9" s="107">
        <v>16711</v>
      </c>
      <c r="D9" s="1"/>
      <c r="E9" s="1"/>
      <c r="F9" s="1"/>
      <c r="G9" s="1"/>
      <c r="H9" s="1"/>
      <c r="I9" s="1"/>
      <c r="L9" s="96"/>
    </row>
    <row r="10" spans="2:12" ht="20" customHeight="1" x14ac:dyDescent="0.3">
      <c r="D10" s="1"/>
      <c r="E10" s="1"/>
      <c r="F10" s="1"/>
      <c r="G10" s="1"/>
      <c r="H10" s="1"/>
      <c r="I10" s="1"/>
      <c r="L10" s="96"/>
    </row>
    <row r="11" spans="2:12" ht="20" customHeight="1" x14ac:dyDescent="0.3">
      <c r="D11" s="1"/>
      <c r="E11" s="1"/>
      <c r="F11" s="1"/>
      <c r="G11" s="1"/>
      <c r="H11" s="1"/>
      <c r="I11" s="1"/>
      <c r="L11" s="96"/>
    </row>
    <row r="12" spans="2:12" ht="20" customHeight="1" x14ac:dyDescent="0.3">
      <c r="D12" s="1"/>
      <c r="E12" s="1"/>
      <c r="F12" s="1"/>
      <c r="G12" s="1"/>
      <c r="H12" s="1"/>
      <c r="I12" s="1"/>
      <c r="L12" s="96"/>
    </row>
    <row r="13" spans="2:12" ht="20" customHeight="1" x14ac:dyDescent="0.3">
      <c r="D13" s="1"/>
      <c r="E13" s="1"/>
      <c r="F13" s="1"/>
      <c r="G13" s="1"/>
      <c r="H13" s="1"/>
      <c r="I13" s="1"/>
      <c r="L13" s="96"/>
    </row>
    <row r="14" spans="2:12" ht="20" customHeight="1" x14ac:dyDescent="0.3">
      <c r="D14" s="1"/>
      <c r="E14" s="1"/>
      <c r="F14" s="1"/>
      <c r="G14" s="1"/>
      <c r="H14" s="1"/>
      <c r="I14" s="1"/>
      <c r="L14" s="96"/>
    </row>
    <row r="15" spans="2:12" ht="20" customHeight="1" x14ac:dyDescent="0.3">
      <c r="D15" s="1"/>
      <c r="E15" s="1"/>
      <c r="F15" s="1"/>
      <c r="G15" s="1"/>
      <c r="H15" s="1"/>
      <c r="I15" s="1"/>
      <c r="L15" s="96"/>
    </row>
    <row r="16" spans="2:12" ht="20" customHeight="1" x14ac:dyDescent="0.3">
      <c r="D16" s="1"/>
      <c r="E16" s="1"/>
      <c r="F16" s="1"/>
      <c r="G16" s="1"/>
      <c r="H16" s="1"/>
      <c r="I16" s="1"/>
      <c r="L16" s="96"/>
    </row>
    <row r="17" spans="2:26" ht="20" customHeight="1" x14ac:dyDescent="0.25">
      <c r="B17" s="1"/>
      <c r="E17" s="1"/>
      <c r="F17" s="1"/>
      <c r="G17" s="1"/>
      <c r="H17" s="1"/>
      <c r="I17" s="1"/>
    </row>
    <row r="18" spans="2:26" ht="20" customHeight="1" x14ac:dyDescent="0.25">
      <c r="B18" s="1"/>
      <c r="E18" s="1"/>
      <c r="F18" s="1"/>
      <c r="G18" s="1"/>
      <c r="H18" s="1"/>
      <c r="I18" s="1"/>
    </row>
    <row r="19" spans="2:26" ht="20" customHeight="1" x14ac:dyDescent="0.25">
      <c r="B19" s="1"/>
      <c r="E19" s="1"/>
      <c r="F19" s="1"/>
      <c r="G19" s="1"/>
      <c r="H19" s="1"/>
      <c r="I19" s="1"/>
    </row>
    <row r="20" spans="2:26" ht="20" customHeight="1" x14ac:dyDescent="0.25">
      <c r="B20" s="1"/>
      <c r="E20" s="1"/>
      <c r="F20" s="1"/>
      <c r="G20" s="1"/>
      <c r="H20" s="1"/>
      <c r="I20" s="1"/>
      <c r="S20" s="97"/>
      <c r="T20" s="98"/>
      <c r="U20" s="98"/>
      <c r="V20" s="98"/>
      <c r="W20" s="98"/>
      <c r="X20" s="99"/>
    </row>
    <row r="21" spans="2:26" ht="20" customHeight="1" x14ac:dyDescent="0.25">
      <c r="B21" s="1"/>
      <c r="E21" s="1"/>
      <c r="F21" s="1"/>
      <c r="G21" s="1"/>
      <c r="H21" s="1"/>
      <c r="I21" s="1"/>
      <c r="S21" s="97"/>
      <c r="T21" s="99"/>
      <c r="U21" s="99"/>
      <c r="V21" s="99"/>
      <c r="W21" s="99"/>
      <c r="X21" s="99"/>
    </row>
    <row r="22" spans="2:26" ht="20" customHeight="1" x14ac:dyDescent="0.3">
      <c r="B22" s="1"/>
      <c r="C22" s="1"/>
      <c r="D22" s="1"/>
      <c r="E22" s="1"/>
      <c r="F22" s="1"/>
      <c r="G22" s="1"/>
      <c r="H22" s="1"/>
      <c r="I22" s="1"/>
      <c r="S22" s="98"/>
      <c r="T22" s="100"/>
      <c r="U22" s="100"/>
      <c r="V22" s="100"/>
      <c r="W22" s="100"/>
      <c r="X22" s="100"/>
      <c r="Z22" s="47"/>
    </row>
    <row r="23" spans="2:26" ht="20" customHeight="1" x14ac:dyDescent="0.3">
      <c r="B23" s="1"/>
      <c r="C23" s="1"/>
      <c r="D23" s="1"/>
      <c r="E23" s="1"/>
      <c r="F23" s="1"/>
      <c r="G23" s="1"/>
      <c r="H23" s="1"/>
      <c r="I23" s="1"/>
      <c r="S23" s="98"/>
      <c r="T23" s="100"/>
      <c r="U23" s="100"/>
      <c r="V23" s="100"/>
      <c r="W23" s="100"/>
      <c r="X23" s="100"/>
      <c r="Z23" s="47"/>
    </row>
    <row r="24" spans="2:26" ht="20" customHeight="1" x14ac:dyDescent="0.3">
      <c r="S24" s="101"/>
      <c r="T24" s="102"/>
      <c r="U24" s="102"/>
      <c r="V24" s="100"/>
      <c r="W24" s="100"/>
      <c r="X24" s="100"/>
      <c r="Z24" s="47"/>
    </row>
    <row r="25" spans="2:26" ht="20" customHeight="1" x14ac:dyDescent="0.25">
      <c r="S25" s="101"/>
      <c r="T25" s="102"/>
      <c r="U25" s="102"/>
      <c r="V25" s="100"/>
      <c r="W25" s="100"/>
      <c r="X25" s="100"/>
    </row>
    <row r="26" spans="2:26" ht="20" customHeight="1" x14ac:dyDescent="0.25"/>
    <row r="27" spans="2:26" ht="20" customHeight="1" x14ac:dyDescent="0.25"/>
    <row r="28" spans="2:26" ht="20" customHeight="1" x14ac:dyDescent="0.3">
      <c r="O28" s="96"/>
    </row>
    <row r="29" spans="2:26" ht="20" customHeight="1" x14ac:dyDescent="0.3">
      <c r="F29" s="103"/>
      <c r="G29" s="103"/>
      <c r="H29" s="103"/>
      <c r="I29" s="103"/>
      <c r="J29" s="103"/>
      <c r="K29" s="103"/>
      <c r="O29" s="96"/>
    </row>
    <row r="30" spans="2:26" ht="20" customHeight="1" x14ac:dyDescent="0.3">
      <c r="F30" s="94"/>
      <c r="G30" s="95"/>
      <c r="H30" s="95"/>
      <c r="I30" s="95"/>
      <c r="J30" s="95"/>
      <c r="K30" s="95"/>
      <c r="O30" s="96"/>
    </row>
    <row r="31" spans="2:26" ht="20" customHeight="1" x14ac:dyDescent="0.3">
      <c r="F31" s="95"/>
      <c r="G31" s="96"/>
      <c r="H31" s="96"/>
      <c r="I31" s="96"/>
      <c r="J31" s="96"/>
      <c r="K31" s="96"/>
      <c r="O31" s="96"/>
    </row>
    <row r="32" spans="2:26" ht="20" customHeight="1" x14ac:dyDescent="0.3">
      <c r="O32" s="96"/>
    </row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20" customHeight="1" x14ac:dyDescent="0.25"/>
    <row r="114" ht="20" customHeight="1" x14ac:dyDescent="0.25"/>
    <row r="115" ht="20" customHeight="1" x14ac:dyDescent="0.25"/>
    <row r="116" ht="20" customHeight="1" x14ac:dyDescent="0.25"/>
    <row r="117" ht="20" customHeight="1" x14ac:dyDescent="0.25"/>
    <row r="118" ht="20" customHeight="1" x14ac:dyDescent="0.25"/>
    <row r="119" ht="20" customHeight="1" x14ac:dyDescent="0.25"/>
    <row r="120" ht="20" customHeight="1" x14ac:dyDescent="0.25"/>
    <row r="121" ht="20" customHeight="1" x14ac:dyDescent="0.25"/>
    <row r="122" ht="20" customHeight="1" x14ac:dyDescent="0.25"/>
    <row r="123" ht="20" customHeight="1" x14ac:dyDescent="0.25"/>
    <row r="124" ht="20" customHeight="1" x14ac:dyDescent="0.25"/>
    <row r="125" ht="20" customHeight="1" x14ac:dyDescent="0.25"/>
    <row r="126" ht="20" customHeight="1" x14ac:dyDescent="0.25"/>
    <row r="127" ht="20" customHeight="1" x14ac:dyDescent="0.25"/>
    <row r="128" ht="20" customHeight="1" x14ac:dyDescent="0.25"/>
    <row r="129" ht="20" customHeight="1" x14ac:dyDescent="0.25"/>
    <row r="130" ht="20" customHeight="1" x14ac:dyDescent="0.25"/>
    <row r="131" ht="20" customHeight="1" x14ac:dyDescent="0.25"/>
    <row r="132" ht="20" customHeight="1" x14ac:dyDescent="0.25"/>
    <row r="133" ht="20" customHeight="1" x14ac:dyDescent="0.25"/>
    <row r="134" ht="20" customHeight="1" x14ac:dyDescent="0.25"/>
    <row r="135" ht="20" customHeight="1" x14ac:dyDescent="0.25"/>
    <row r="136" ht="20" customHeight="1" x14ac:dyDescent="0.25"/>
    <row r="137" ht="20" customHeight="1" x14ac:dyDescent="0.25"/>
    <row r="138" ht="20" customHeight="1" x14ac:dyDescent="0.25"/>
    <row r="139" ht="20" customHeight="1" x14ac:dyDescent="0.25"/>
    <row r="140" ht="20" customHeight="1" x14ac:dyDescent="0.25"/>
    <row r="141" ht="20" customHeight="1" x14ac:dyDescent="0.25"/>
    <row r="142" ht="20" customHeight="1" x14ac:dyDescent="0.25"/>
    <row r="143" ht="20" customHeight="1" x14ac:dyDescent="0.25"/>
    <row r="144" ht="20" customHeight="1" x14ac:dyDescent="0.25"/>
    <row r="145" ht="20" customHeight="1" x14ac:dyDescent="0.25"/>
    <row r="146" ht="20" customHeight="1" x14ac:dyDescent="0.25"/>
    <row r="147" ht="20" customHeight="1" x14ac:dyDescent="0.25"/>
    <row r="148" ht="20" customHeight="1" x14ac:dyDescent="0.25"/>
    <row r="149" ht="20" customHeight="1" x14ac:dyDescent="0.25"/>
    <row r="150" ht="20" customHeight="1" x14ac:dyDescent="0.25"/>
    <row r="151" ht="20" customHeight="1" x14ac:dyDescent="0.25"/>
    <row r="152" ht="20" customHeight="1" x14ac:dyDescent="0.25"/>
    <row r="153" ht="20" customHeight="1" x14ac:dyDescent="0.25"/>
    <row r="154" ht="20" customHeight="1" x14ac:dyDescent="0.25"/>
    <row r="155" ht="20" customHeight="1" x14ac:dyDescent="0.25"/>
    <row r="156" ht="20" customHeight="1" x14ac:dyDescent="0.25"/>
    <row r="157" ht="20" customHeight="1" x14ac:dyDescent="0.25"/>
    <row r="158" ht="20" customHeight="1" x14ac:dyDescent="0.25"/>
    <row r="159" ht="20" customHeight="1" x14ac:dyDescent="0.25"/>
    <row r="160" ht="20" customHeight="1" x14ac:dyDescent="0.25"/>
    <row r="161" ht="20" customHeight="1" x14ac:dyDescent="0.25"/>
    <row r="162" ht="20" customHeight="1" x14ac:dyDescent="0.25"/>
    <row r="163" ht="20" customHeight="1" x14ac:dyDescent="0.25"/>
    <row r="164" ht="20" customHeight="1" x14ac:dyDescent="0.25"/>
    <row r="165" ht="20" customHeight="1" x14ac:dyDescent="0.25"/>
    <row r="166" ht="20" customHeight="1" x14ac:dyDescent="0.25"/>
    <row r="167" ht="20" customHeight="1" x14ac:dyDescent="0.25"/>
    <row r="168" ht="20" customHeight="1" x14ac:dyDescent="0.25"/>
    <row r="169" ht="20" customHeight="1" x14ac:dyDescent="0.25"/>
    <row r="170" ht="20" customHeight="1" x14ac:dyDescent="0.25"/>
    <row r="171" ht="20" customHeight="1" x14ac:dyDescent="0.25"/>
    <row r="172" ht="20" customHeight="1" x14ac:dyDescent="0.25"/>
    <row r="173" ht="20" customHeight="1" x14ac:dyDescent="0.25"/>
    <row r="174" ht="20" customHeight="1" x14ac:dyDescent="0.25"/>
    <row r="175" ht="20" customHeight="1" x14ac:dyDescent="0.25"/>
    <row r="176" ht="20" customHeight="1" x14ac:dyDescent="0.25"/>
    <row r="177" ht="20" customHeight="1" x14ac:dyDescent="0.25"/>
    <row r="178" ht="20" customHeight="1" x14ac:dyDescent="0.25"/>
    <row r="179" ht="20" customHeight="1" x14ac:dyDescent="0.25"/>
    <row r="180" ht="20" customHeight="1" x14ac:dyDescent="0.25"/>
    <row r="181" ht="20" customHeight="1" x14ac:dyDescent="0.25"/>
    <row r="182" ht="20" customHeight="1" x14ac:dyDescent="0.25"/>
    <row r="183" ht="20" customHeight="1" x14ac:dyDescent="0.25"/>
    <row r="184" ht="20" customHeight="1" x14ac:dyDescent="0.25"/>
    <row r="185" ht="20" customHeight="1" x14ac:dyDescent="0.25"/>
    <row r="186" ht="20" customHeight="1" x14ac:dyDescent="0.25"/>
    <row r="187" ht="20" customHeight="1" x14ac:dyDescent="0.25"/>
    <row r="188" ht="20" customHeight="1" x14ac:dyDescent="0.25"/>
    <row r="189" ht="20" customHeight="1" x14ac:dyDescent="0.25"/>
    <row r="190" ht="20" customHeight="1" x14ac:dyDescent="0.25"/>
    <row r="191" ht="20" customHeight="1" x14ac:dyDescent="0.25"/>
    <row r="192" ht="20" customHeight="1" x14ac:dyDescent="0.25"/>
    <row r="193" ht="20" customHeight="1" x14ac:dyDescent="0.25"/>
    <row r="194" ht="20" customHeight="1" x14ac:dyDescent="0.25"/>
    <row r="195" ht="20" customHeight="1" x14ac:dyDescent="0.25"/>
    <row r="196" ht="20" customHeight="1" x14ac:dyDescent="0.25"/>
    <row r="197" ht="20" customHeight="1" x14ac:dyDescent="0.25"/>
    <row r="198" ht="20" customHeight="1" x14ac:dyDescent="0.25"/>
    <row r="199" ht="20" customHeight="1" x14ac:dyDescent="0.25"/>
    <row r="200" ht="20" customHeight="1" x14ac:dyDescent="0.25"/>
    <row r="201" ht="20" customHeight="1" x14ac:dyDescent="0.25"/>
    <row r="202" ht="20" customHeight="1" x14ac:dyDescent="0.25"/>
    <row r="203" ht="20" customHeight="1" x14ac:dyDescent="0.25"/>
    <row r="204" ht="20" customHeight="1" x14ac:dyDescent="0.25"/>
    <row r="205" ht="20" customHeight="1" x14ac:dyDescent="0.25"/>
    <row r="206" ht="20" customHeight="1" x14ac:dyDescent="0.25"/>
    <row r="207" ht="20" customHeight="1" x14ac:dyDescent="0.25"/>
    <row r="208" ht="20" customHeight="1" x14ac:dyDescent="0.25"/>
    <row r="209" ht="20" customHeight="1" x14ac:dyDescent="0.25"/>
    <row r="210" ht="20" customHeight="1" x14ac:dyDescent="0.25"/>
    <row r="211" ht="20" customHeight="1" x14ac:dyDescent="0.25"/>
    <row r="212" ht="20" customHeight="1" x14ac:dyDescent="0.25"/>
    <row r="213" ht="20" customHeight="1" x14ac:dyDescent="0.25"/>
    <row r="214" ht="20" customHeight="1" x14ac:dyDescent="0.25"/>
    <row r="215" ht="20" customHeight="1" x14ac:dyDescent="0.25"/>
    <row r="216" ht="20" customHeight="1" x14ac:dyDescent="0.25"/>
    <row r="217" ht="20" customHeight="1" x14ac:dyDescent="0.25"/>
    <row r="218" ht="20" customHeight="1" x14ac:dyDescent="0.25"/>
    <row r="219" ht="20" customHeight="1" x14ac:dyDescent="0.25"/>
    <row r="220" ht="20" customHeight="1" x14ac:dyDescent="0.25"/>
    <row r="221" ht="20" customHeight="1" x14ac:dyDescent="0.25"/>
    <row r="222" ht="20" customHeight="1" x14ac:dyDescent="0.25"/>
    <row r="223" ht="20" customHeight="1" x14ac:dyDescent="0.25"/>
    <row r="224" ht="20" customHeight="1" x14ac:dyDescent="0.25"/>
    <row r="225" ht="20" customHeight="1" x14ac:dyDescent="0.25"/>
    <row r="226" ht="20" customHeight="1" x14ac:dyDescent="0.25"/>
    <row r="227" ht="20" customHeight="1" x14ac:dyDescent="0.25"/>
    <row r="228" ht="20" customHeight="1" x14ac:dyDescent="0.25"/>
    <row r="229" ht="20" customHeight="1" x14ac:dyDescent="0.25"/>
    <row r="230" ht="20" customHeight="1" x14ac:dyDescent="0.25"/>
    <row r="231" ht="20" customHeight="1" x14ac:dyDescent="0.25"/>
    <row r="232" ht="20" customHeight="1" x14ac:dyDescent="0.25"/>
    <row r="233" ht="20" customHeight="1" x14ac:dyDescent="0.25"/>
    <row r="234" ht="20" customHeight="1" x14ac:dyDescent="0.25"/>
    <row r="235" ht="20" customHeight="1" x14ac:dyDescent="0.25"/>
    <row r="236" ht="20" customHeight="1" x14ac:dyDescent="0.25"/>
    <row r="237" ht="20" customHeight="1" x14ac:dyDescent="0.25"/>
    <row r="238" ht="20" customHeight="1" x14ac:dyDescent="0.25"/>
    <row r="239" ht="20" customHeight="1" x14ac:dyDescent="0.25"/>
    <row r="240" ht="20" customHeight="1" x14ac:dyDescent="0.25"/>
    <row r="241" ht="20" customHeight="1" x14ac:dyDescent="0.25"/>
    <row r="242" ht="20" customHeight="1" x14ac:dyDescent="0.25"/>
    <row r="243" ht="20" customHeight="1" x14ac:dyDescent="0.25"/>
    <row r="244" ht="20" customHeight="1" x14ac:dyDescent="0.25"/>
    <row r="245" ht="20" customHeight="1" x14ac:dyDescent="0.25"/>
    <row r="246" ht="20" customHeight="1" x14ac:dyDescent="0.25"/>
    <row r="247" ht="20" customHeight="1" x14ac:dyDescent="0.25"/>
    <row r="248" ht="20" customHeight="1" x14ac:dyDescent="0.25"/>
    <row r="249" ht="20" customHeight="1" x14ac:dyDescent="0.25"/>
    <row r="250" ht="20" customHeight="1" x14ac:dyDescent="0.25"/>
    <row r="251" ht="20" customHeight="1" x14ac:dyDescent="0.25"/>
    <row r="252" ht="20" customHeight="1" x14ac:dyDescent="0.25"/>
    <row r="253" ht="20" customHeight="1" x14ac:dyDescent="0.25"/>
    <row r="254" ht="20" customHeight="1" x14ac:dyDescent="0.25"/>
    <row r="255" ht="20" customHeight="1" x14ac:dyDescent="0.25"/>
    <row r="256" ht="20" customHeight="1" x14ac:dyDescent="0.25"/>
    <row r="257" ht="20" customHeight="1" x14ac:dyDescent="0.25"/>
    <row r="258" ht="20" customHeight="1" x14ac:dyDescent="0.25"/>
    <row r="259" ht="20" customHeight="1" x14ac:dyDescent="0.25"/>
    <row r="260" ht="20" customHeight="1" x14ac:dyDescent="0.25"/>
    <row r="261" ht="20" customHeight="1" x14ac:dyDescent="0.25"/>
    <row r="262" ht="20" customHeight="1" x14ac:dyDescent="0.25"/>
    <row r="263" ht="20" customHeight="1" x14ac:dyDescent="0.25"/>
    <row r="264" ht="20" customHeight="1" x14ac:dyDescent="0.25"/>
    <row r="265" ht="20" customHeight="1" x14ac:dyDescent="0.25"/>
    <row r="266" ht="20" customHeight="1" x14ac:dyDescent="0.25"/>
    <row r="267" ht="20" customHeight="1" x14ac:dyDescent="0.25"/>
    <row r="268" ht="20" customHeight="1" x14ac:dyDescent="0.25"/>
    <row r="269" ht="20" customHeight="1" x14ac:dyDescent="0.25"/>
    <row r="270" ht="20" customHeight="1" x14ac:dyDescent="0.25"/>
    <row r="271" ht="20" customHeight="1" x14ac:dyDescent="0.25"/>
    <row r="272" ht="20" customHeight="1" x14ac:dyDescent="0.25"/>
    <row r="273" ht="20" customHeight="1" x14ac:dyDescent="0.25"/>
    <row r="274" ht="20" customHeight="1" x14ac:dyDescent="0.25"/>
    <row r="275" ht="20" customHeight="1" x14ac:dyDescent="0.25"/>
    <row r="276" ht="20" customHeight="1" x14ac:dyDescent="0.25"/>
    <row r="277" ht="20" customHeight="1" x14ac:dyDescent="0.25"/>
    <row r="278" ht="20" customHeight="1" x14ac:dyDescent="0.25"/>
    <row r="279" ht="20" customHeight="1" x14ac:dyDescent="0.25"/>
    <row r="280" ht="20" customHeight="1" x14ac:dyDescent="0.25"/>
    <row r="281" ht="20" customHeight="1" x14ac:dyDescent="0.25"/>
    <row r="282" ht="20" customHeight="1" x14ac:dyDescent="0.25"/>
    <row r="283" ht="20" customHeight="1" x14ac:dyDescent="0.25"/>
    <row r="284" ht="20" customHeight="1" x14ac:dyDescent="0.25"/>
    <row r="285" ht="20" customHeight="1" x14ac:dyDescent="0.25"/>
    <row r="286" ht="20" customHeight="1" x14ac:dyDescent="0.25"/>
    <row r="287" ht="20" customHeight="1" x14ac:dyDescent="0.25"/>
    <row r="288" ht="20" customHeight="1" x14ac:dyDescent="0.25"/>
    <row r="289" ht="20" customHeight="1" x14ac:dyDescent="0.25"/>
    <row r="290" ht="20" customHeight="1" x14ac:dyDescent="0.25"/>
    <row r="291" ht="20" customHeight="1" x14ac:dyDescent="0.25"/>
    <row r="292" ht="20" customHeight="1" x14ac:dyDescent="0.25"/>
    <row r="293" ht="20" customHeight="1" x14ac:dyDescent="0.25"/>
    <row r="294" ht="20" customHeight="1" x14ac:dyDescent="0.25"/>
    <row r="295" ht="20" customHeight="1" x14ac:dyDescent="0.25"/>
    <row r="296" ht="20" customHeight="1" x14ac:dyDescent="0.25"/>
    <row r="297" ht="20" customHeight="1" x14ac:dyDescent="0.25"/>
    <row r="298" ht="20" customHeight="1" x14ac:dyDescent="0.25"/>
    <row r="299" ht="20" customHeight="1" x14ac:dyDescent="0.25"/>
    <row r="300" ht="20" customHeight="1" x14ac:dyDescent="0.25"/>
    <row r="301" ht="20" customHeight="1" x14ac:dyDescent="0.25"/>
    <row r="302" ht="20" customHeight="1" x14ac:dyDescent="0.25"/>
    <row r="303" ht="20" customHeight="1" x14ac:dyDescent="0.25"/>
    <row r="304" ht="20" customHeight="1" x14ac:dyDescent="0.25"/>
    <row r="305" ht="20" customHeight="1" x14ac:dyDescent="0.25"/>
    <row r="306" ht="20" customHeight="1" x14ac:dyDescent="0.25"/>
    <row r="307" ht="20" customHeight="1" x14ac:dyDescent="0.25"/>
    <row r="308" ht="20" customHeight="1" x14ac:dyDescent="0.25"/>
    <row r="309" ht="20" customHeight="1" x14ac:dyDescent="0.25"/>
    <row r="310" ht="20" customHeight="1" x14ac:dyDescent="0.25"/>
    <row r="311" ht="20" customHeight="1" x14ac:dyDescent="0.25"/>
    <row r="312" ht="20" customHeight="1" x14ac:dyDescent="0.25"/>
    <row r="313" ht="20" customHeight="1" x14ac:dyDescent="0.25"/>
    <row r="314" ht="20" customHeight="1" x14ac:dyDescent="0.25"/>
    <row r="315" ht="20" customHeight="1" x14ac:dyDescent="0.25"/>
    <row r="316" ht="20" customHeight="1" x14ac:dyDescent="0.25"/>
    <row r="317" ht="20" customHeight="1" x14ac:dyDescent="0.25"/>
    <row r="318" ht="20" customHeight="1" x14ac:dyDescent="0.25"/>
    <row r="319" ht="20" customHeight="1" x14ac:dyDescent="0.25"/>
    <row r="320" ht="20" customHeight="1" x14ac:dyDescent="0.25"/>
    <row r="321" ht="20" customHeight="1" x14ac:dyDescent="0.25"/>
    <row r="322" ht="20" customHeight="1" x14ac:dyDescent="0.25"/>
    <row r="323" ht="20" customHeight="1" x14ac:dyDescent="0.25"/>
    <row r="324" ht="20" customHeight="1" x14ac:dyDescent="0.25"/>
    <row r="325" ht="20" customHeight="1" x14ac:dyDescent="0.25"/>
    <row r="326" ht="20" customHeight="1" x14ac:dyDescent="0.25"/>
    <row r="327" ht="20" customHeight="1" x14ac:dyDescent="0.25"/>
    <row r="328" ht="20" customHeight="1" x14ac:dyDescent="0.25"/>
    <row r="329" ht="20" customHeight="1" x14ac:dyDescent="0.25"/>
    <row r="330" ht="20" customHeight="1" x14ac:dyDescent="0.25"/>
    <row r="331" ht="20" customHeight="1" x14ac:dyDescent="0.25"/>
    <row r="332" ht="20" customHeight="1" x14ac:dyDescent="0.25"/>
    <row r="333" ht="20" customHeight="1" x14ac:dyDescent="0.25"/>
    <row r="334" ht="20" customHeight="1" x14ac:dyDescent="0.25"/>
    <row r="335" ht="20" customHeight="1" x14ac:dyDescent="0.25"/>
    <row r="336" ht="20" customHeight="1" x14ac:dyDescent="0.25"/>
    <row r="337" ht="20" customHeight="1" x14ac:dyDescent="0.25"/>
    <row r="338" ht="20" customHeight="1" x14ac:dyDescent="0.25"/>
    <row r="339" ht="20" customHeight="1" x14ac:dyDescent="0.25"/>
    <row r="340" ht="20" customHeight="1" x14ac:dyDescent="0.25"/>
    <row r="341" ht="20" customHeight="1" x14ac:dyDescent="0.25"/>
    <row r="342" ht="20" customHeight="1" x14ac:dyDescent="0.25"/>
    <row r="343" ht="20" customHeight="1" x14ac:dyDescent="0.25"/>
    <row r="344" ht="20" customHeight="1" x14ac:dyDescent="0.25"/>
    <row r="345" ht="20" customHeight="1" x14ac:dyDescent="0.25"/>
    <row r="346" ht="20" customHeight="1" x14ac:dyDescent="0.25"/>
    <row r="347" ht="20" customHeight="1" x14ac:dyDescent="0.25"/>
    <row r="348" ht="20" customHeight="1" x14ac:dyDescent="0.25"/>
    <row r="349" ht="20" customHeight="1" x14ac:dyDescent="0.25"/>
    <row r="350" ht="20" customHeight="1" x14ac:dyDescent="0.25"/>
    <row r="351" ht="20" customHeight="1" x14ac:dyDescent="0.25"/>
    <row r="352" ht="20" customHeight="1" x14ac:dyDescent="0.25"/>
    <row r="353" ht="20" customHeight="1" x14ac:dyDescent="0.25"/>
    <row r="354" ht="20" customHeight="1" x14ac:dyDescent="0.25"/>
    <row r="355" ht="20" customHeight="1" x14ac:dyDescent="0.25"/>
    <row r="356" ht="20" customHeight="1" x14ac:dyDescent="0.25"/>
    <row r="357" ht="20" customHeight="1" x14ac:dyDescent="0.25"/>
    <row r="358" ht="20" customHeight="1" x14ac:dyDescent="0.25"/>
    <row r="359" ht="20" customHeight="1" x14ac:dyDescent="0.25"/>
    <row r="360" ht="20" customHeight="1" x14ac:dyDescent="0.25"/>
    <row r="361" ht="20" customHeight="1" x14ac:dyDescent="0.25"/>
    <row r="362" ht="20" customHeight="1" x14ac:dyDescent="0.25"/>
    <row r="363" ht="20" customHeight="1" x14ac:dyDescent="0.25"/>
    <row r="364" ht="20" customHeight="1" x14ac:dyDescent="0.25"/>
    <row r="365" ht="20" customHeight="1" x14ac:dyDescent="0.25"/>
    <row r="366" ht="20" customHeight="1" x14ac:dyDescent="0.25"/>
    <row r="367" ht="20" customHeight="1" x14ac:dyDescent="0.25"/>
    <row r="368" ht="20" customHeight="1" x14ac:dyDescent="0.25"/>
    <row r="369" ht="20" customHeight="1" x14ac:dyDescent="0.25"/>
    <row r="370" ht="20" customHeight="1" x14ac:dyDescent="0.25"/>
    <row r="371" ht="20" customHeight="1" x14ac:dyDescent="0.25"/>
    <row r="372" ht="20" customHeight="1" x14ac:dyDescent="0.25"/>
    <row r="373" ht="20" customHeight="1" x14ac:dyDescent="0.25"/>
    <row r="374" ht="20" customHeight="1" x14ac:dyDescent="0.25"/>
    <row r="375" ht="20" customHeight="1" x14ac:dyDescent="0.25"/>
    <row r="376" ht="20" customHeight="1" x14ac:dyDescent="0.25"/>
    <row r="377" ht="20" customHeight="1" x14ac:dyDescent="0.25"/>
    <row r="378" ht="20" customHeight="1" x14ac:dyDescent="0.25"/>
    <row r="379" ht="20" customHeight="1" x14ac:dyDescent="0.25"/>
    <row r="380" ht="20" customHeight="1" x14ac:dyDescent="0.25"/>
    <row r="381" ht="20" customHeight="1" x14ac:dyDescent="0.25"/>
    <row r="382" ht="20" customHeight="1" x14ac:dyDescent="0.25"/>
    <row r="383" ht="20" customHeight="1" x14ac:dyDescent="0.25"/>
    <row r="384" ht="20" customHeight="1" x14ac:dyDescent="0.25"/>
    <row r="385" ht="20" customHeight="1" x14ac:dyDescent="0.25"/>
    <row r="386" ht="20" customHeight="1" x14ac:dyDescent="0.25"/>
    <row r="387" ht="20" customHeight="1" x14ac:dyDescent="0.25"/>
    <row r="388" ht="20" customHeight="1" x14ac:dyDescent="0.25"/>
    <row r="389" ht="20" customHeight="1" x14ac:dyDescent="0.25"/>
    <row r="390" ht="20" customHeight="1" x14ac:dyDescent="0.25"/>
    <row r="391" ht="20" customHeight="1" x14ac:dyDescent="0.25"/>
    <row r="392" ht="20" customHeight="1" x14ac:dyDescent="0.25"/>
    <row r="393" ht="20" customHeight="1" x14ac:dyDescent="0.25"/>
    <row r="394" ht="20" customHeight="1" x14ac:dyDescent="0.25"/>
    <row r="395" ht="20" customHeight="1" x14ac:dyDescent="0.25"/>
    <row r="396" ht="20" customHeight="1" x14ac:dyDescent="0.25"/>
    <row r="397" ht="20" customHeight="1" x14ac:dyDescent="0.25"/>
    <row r="398" ht="20" customHeight="1" x14ac:dyDescent="0.25"/>
    <row r="399" ht="20" customHeight="1" x14ac:dyDescent="0.25"/>
    <row r="400" ht="20" customHeight="1" x14ac:dyDescent="0.25"/>
    <row r="401" ht="20" customHeight="1" x14ac:dyDescent="0.25"/>
    <row r="402" ht="20" customHeight="1" x14ac:dyDescent="0.25"/>
  </sheetData>
  <mergeCells count="17">
    <mergeCell ref="B3:B4"/>
    <mergeCell ref="C3:C4"/>
    <mergeCell ref="B2:C2"/>
    <mergeCell ref="X24:X25"/>
    <mergeCell ref="S22:S23"/>
    <mergeCell ref="V22:V23"/>
    <mergeCell ref="W22:W23"/>
    <mergeCell ref="X22:X23"/>
    <mergeCell ref="T22:T23"/>
    <mergeCell ref="U22:U23"/>
    <mergeCell ref="T24:U25"/>
    <mergeCell ref="S24:S25"/>
    <mergeCell ref="V20:W20"/>
    <mergeCell ref="V24:V25"/>
    <mergeCell ref="W24:W25"/>
    <mergeCell ref="S20:S21"/>
    <mergeCell ref="T20:U2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Таблица</vt:lpstr>
      <vt:lpstr>Графики</vt:lpstr>
      <vt:lpstr>Замеры блоков</vt:lpstr>
      <vt:lpstr>Сравнение с эталонами</vt:lpstr>
      <vt:lpstr>К1921ВГ1Т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2026-09-27T10:21:28Z</dcterms:modified>
</cp:coreProperties>
</file>